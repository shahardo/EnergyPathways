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2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3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4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5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6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7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8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9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10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11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12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13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14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15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16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17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18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19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20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21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22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23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24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25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26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27.xml" ContentType="application/vnd.openxmlformats-officedocument.themeOverrid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28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29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30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mnidom.net\fileserver\Department\אגף תכנון ומדיניות\חטיבת המחקר\מדיניות לטווח בינוני\היום שאחרי הגז - צוות מעקב\"/>
    </mc:Choice>
  </mc:AlternateContent>
  <xr:revisionPtr revIDLastSave="0" documentId="8_{EC6B1CCF-1303-49BE-986F-CCDAB9ED2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D9" i="1"/>
  <c r="C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C9" i="1"/>
</calcChain>
</file>

<file path=xl/sharedStrings.xml><?xml version="1.0" encoding="utf-8"?>
<sst xmlns="http://schemas.openxmlformats.org/spreadsheetml/2006/main" count="313" uniqueCount="285">
  <si>
    <t>מתחדשות ואגירה</t>
  </si>
  <si>
    <t>היתוך גרעיני</t>
  </si>
  <si>
    <t>אנרגיה גיאותרמית</t>
  </si>
  <si>
    <t>חובת פאנלים במבנים חדשים</t>
  </si>
  <si>
    <t>חוק הגרעין האזרחי</t>
  </si>
  <si>
    <t>הקמת רשות בטיחות גרעינית (רגולטור בלתי תלוי) ויישור קו עם אמנות בינלאומיות (NPT/IAEA).</t>
  </si>
  <si>
    <t>בחירת אתר ל-SMR</t>
  </si>
  <si>
    <t>הפשרת קרקעות בנגב (אזור שבטה או מתחמי AI) והכנת תשתיות קירור וחילוץ.</t>
  </si>
  <si>
    <t>פורום היתוך לאומי</t>
  </si>
  <si>
    <t>הקמת אקוסיסטם משותף לממשלה, אקדמיה וחברות הזנק (כגון nT-Tao) לקידום המחקר.</t>
  </si>
  <si>
    <t>מתקני הוכחת היתכנות (POC)</t>
  </si>
  <si>
    <t>בניית מודלים מוקטנים באקדמיה להוכחת רווח אנרגטי חיובי בחימום פלזמה.</t>
  </si>
  <si>
    <t>מיפוי סיסמולוגי מקיף</t>
  </si>
  <si>
    <t>ביצוע סקרים גאולוגיים עמוקים ברמת הגולן לאיתור כיסי חום תת-קרקעיים מניבים.</t>
  </si>
  <si>
    <t>חקר הידרולוגי בערבה</t>
  </si>
  <si>
    <t>פיילוטים הבוחנים שימוש במים מליחים להולכת חום ממערכות סלע עמוקות (EGS).</t>
  </si>
  <si>
    <t>גיבוש סופי של עסקת החלפת מים תמורת חשמל סולארי (600MW) המיוצר בירדן.</t>
  </si>
  <si>
    <t>סקר לכבל Great Sea</t>
  </si>
  <si>
    <t>תחילת מדידות קרקעית הים לסלילת כבל החשמל (GSI) שיחבר בין ישראל לקפריסין ויוון.</t>
  </si>
  <si>
    <t>הקמת 2-3 תחנות תדלוק במימן דחוס לצי של אוטובוסים ומשאיות במפרץ חיפה ואשדוד.</t>
  </si>
  <si>
    <t>תכנון מסדרון IMEC</t>
  </si>
  <si>
    <t>עבודת מטה עם סעודיה והאמירויות לבחינת נתיב צנרת הובלת המימן לים התיכון.</t>
  </si>
  <si>
    <t>מכרזי FEED ואפיון</t>
  </si>
  <si>
    <t>סיום שלב התכנון ההנדסי ובחירת ספק הטכנולוגיה המרכזי לכור דרך מכרז בינלאומי.</t>
  </si>
  <si>
    <t>תחילת בניית כורי SMR</t>
  </si>
  <si>
    <t>תחילת עבודות אזרחיות במודל זכיינות (PPP) לבניית יחידות הספק של 300MW בנגב.</t>
  </si>
  <si>
    <t>תכנון מתקן הדגמה</t>
  </si>
  <si>
    <t>תחילת תכנון ההנדסה למתקן מסחרי ראשון בישראל בהתבסס על פריצות דרך בינלאומיות.</t>
  </si>
  <si>
    <t>השתלבות בהייטק הגלובלי</t>
  </si>
  <si>
    <t>יצוא פתרונות תוכנה ישראליים לבקרת מגנטים ושליטה בפלזמה עבור חברות היתוך עולמיות.</t>
  </si>
  <si>
    <t>קידוחים עמוקים בסלע</t>
  </si>
  <si>
    <t>יישום טכניקות קידוח מתקדמות (Superhot rock) לעומקים של 4-6 ק"מ להגעה לטמפרטורות קיצון.</t>
  </si>
  <si>
    <t>תחנת פיילוט (50MW)</t>
  </si>
  <si>
    <t>חיבור לרשת של תחנת ניסוי גיאותרמית ראשונה שתספק אנרגיית בסיס (Baseload) רציפה.</t>
  </si>
  <si>
    <t>סיום הנחת הכבל והפעלת מקטע קפריסין-ישראל בהיקף של 1,000MW כתשתית גיבוי לאומית.</t>
  </si>
  <si>
    <t>צינור NEOM לישראל</t>
  </si>
  <si>
    <t>סיום הקמת הצנרת מסעודיה דרך ירדן המאפשרת הזרמת מימן ירוק זול יחסית למפרץ חיפה.</t>
  </si>
  <si>
    <t>יבוא לתעשייה כבדה</t>
  </si>
  <si>
    <t>מפעלים מזהמים (מלט, פלדה, דשנים) עוברים לשימוש תעשייתי מסחרי במימן כתחליף לגז טבעי.</t>
  </si>
  <si>
    <t>צבירת עודפי יצור בקיץ והמרתם לחשמל בחורף, בין היתר על ידי אגירה שאובה והפקת מימן מקומי.</t>
  </si>
  <si>
    <t>הפעלה מסחרית של 1200MW</t>
  </si>
  <si>
    <t>רשת של כ-4 כורי SMR פועלת ברציפות (24/7) ומספקת את "עוגן" המערכת (Baseload) במקום הגז הטבעי.</t>
  </si>
  <si>
    <t>פתרונות מחזור והטמנה</t>
  </si>
  <si>
    <t>החזרת הדלק המשומש לספק בארה"ב או קביעת אתר גיאולוגי בטוח בנגב לקבורת הפסולת לאורך זמן.</t>
  </si>
  <si>
    <t>כורי היתוך לחוות שרתים</t>
  </si>
  <si>
    <t>שילוב כורים קומפקטיים (כמו הפיתוח של nT-Tao) המספקים 10-20MW ישירות למרכזי AI אסטרטגיים.</t>
  </si>
  <si>
    <t>חיבור היתוך לרשת הארצית</t>
  </si>
  <si>
    <t>החלפת ה-SMR ותחנות הגז בתחנות היתוך גדולות המספקות אנרגיה זולה, בטוחה ואינסופית נטולת פליטות.</t>
  </si>
  <si>
    <t>פריסה לאורך השבר</t>
  </si>
  <si>
    <t>הקמת רשת של עשרות מתקנים גיאותרמיים לכל אורך השבר הסורי-אפריקאי (מהגולן עד אילת).</t>
  </si>
  <si>
    <t>Baseload גיאותרמי מבוסס</t>
  </si>
  <si>
    <t>גיאותרמיה הופכת לנדבך שלישי (יחד עם גרעין ורוח) לייצוב הרשת בחורפים מעוטי שמש.</t>
  </si>
  <si>
    <t>הרחבת קיבולת ה-Great Sea Interconnector כדי לאפשר ייצוא מאסיבי של עודפי שמש לאירופה בצהריים.</t>
  </si>
  <si>
    <t>ישראל כ-Hub אזורי</t>
  </si>
  <si>
    <t>חתימת הסכמי תלות הדדית, כאשר ישראל מתפקדת כצומת אסטרטגי המחבר את המפרץ, מצרים, ואירופה.</t>
  </si>
  <si>
    <t>הסבת רשת נתג"ז למימן</t>
  </si>
  <si>
    <t>שדרוג הצנרת הלאומית ושינוי הרכבי מתכות כך שיוכלו להזרים תערובות גבוהות ועד 100% מימן.</t>
  </si>
  <si>
    <t>100% תעשייה במימן</t>
  </si>
  <si>
    <t>החלת איסור חוקי מוחלט על שריפת גז טבעי בתעשייה, מעבר סופי לאמוניה ומימן, כולל בתחבורה ימית.</t>
  </si>
  <si>
    <t xml:space="preserve">התאמת תשתיות ה-LNG לייבוא מימן או אמוניה </t>
  </si>
  <si>
    <t xml:space="preserve">שדרוג טכנולוגי של מסופי הקליטה והצנרת כך שיוכלו לטפל במימן נוזלי או באמוניה ירוקה, כחלק מיעדי אפס פליטות של המשק. </t>
  </si>
  <si>
    <t xml:space="preserve">שדרוג והרחבת השימוש באונייה צפה מגזזת (FSRU) המחוברת למצוף הימי, כדי לאפשר קבלת מטעני LNG בספיקה גבוהה. </t>
  </si>
  <si>
    <t xml:space="preserve">הסדרת רגולציה לייבוא מזדמן </t>
  </si>
  <si>
    <t xml:space="preserve">יצירת מסגרת רגולטורית שתאפשר לרכוש מטעני LNG בשוק החופשי (Spot Market) ולהזרים לרשת הארצית, </t>
  </si>
  <si>
    <t>פוטנציאל</t>
  </si>
  <si>
    <t>50,000 MW</t>
  </si>
  <si>
    <t>ביקוע גרעיני (SMR)</t>
  </si>
  <si>
    <t>8,000 MW</t>
  </si>
  <si>
    <t>10,000 MW</t>
  </si>
  <si>
    <t>רגולציית אגרו-וולטאי</t>
  </si>
  <si>
    <t>פרויקט Prosperity (ירדן)</t>
  </si>
  <si>
    <t>ייבוא גז טבעי בצינור</t>
  </si>
  <si>
    <t>ייבוא גז טבעי מונזל (LNG)</t>
  </si>
  <si>
    <t>חזרה לייצור בפחם</t>
  </si>
  <si>
    <t>בניית מסופי LNG נוספים וצינורות חיבור לרשת החלוקה הארצית.</t>
  </si>
  <si>
    <t>פיתוח מאגרי אחסון גז טבעי תת-קרקעיים לשמירה על ביטחון אנרגטי עונתי.</t>
  </si>
  <si>
    <t>בניית שותפויות עם ספקים חדשים באפריקה, מזרח אסיה וצפון אמריקה.</t>
  </si>
  <si>
    <t>התאמת רשת החלוקה והתחנות לקליטת כמויות יבוא גדולות לצד מתחדשות.</t>
  </si>
  <si>
    <t>הרחבת תשתיות יבוא והפצה</t>
  </si>
  <si>
    <t>בניית יכולות אחסון תת-קרקעי</t>
  </si>
  <si>
    <t>גיוון מקורות יבוא גלובליים</t>
  </si>
  <si>
    <t>שדרוג רשת להיערכות מעבר אנרגטי</t>
  </si>
  <si>
    <t>קבלת החלטת ממשלה רשמית לביטול איסור הפחם ותיקון חוק אוויר נקי.</t>
  </si>
  <si>
    <t>התקנת מערכות סינון מתקדמות ומעבר לפחם נקי יותר בתחנות הקיימות.</t>
  </si>
  <si>
    <t>הקמת תחנות פחם מודרניות עם טכנולוגיית Ultra-Supercritical להגברת יעילות.</t>
  </si>
  <si>
    <t>הפיכת הפחם למקור גיבוי יציב לצד מתחדשות וגז טבעי.</t>
  </si>
  <si>
    <t>החלטה מדינית והסרת חסמים רגולטוריים</t>
  </si>
  <si>
    <t>שדרוג מערכות סינון והפחתת זיהום</t>
  </si>
  <si>
    <t>בניית תחנות פחם חדשות</t>
  </si>
  <si>
    <t>שילוב פחם כגיבוי אנרגטי ארוך טווח</t>
  </si>
  <si>
    <t>הקלות מס, מענקים והפחתת תמלוגים לשדות גז שוליים ובלתי כלכליים.</t>
  </si>
  <si>
    <t>השקעה במחקר ופיתוח של טכנולוגיות להפקה משדות קטנים ועמוקים.</t>
  </si>
  <si>
    <t>הקמת צינורות ופלטפורמות משותפות שמשרתות מספר שדות קטנים.</t>
  </si>
  <si>
    <t>יישום טכנולוגיות CCUS, AI והפקה משופרת בשדות לא כלכליים.</t>
  </si>
  <si>
    <t>מתן תמריצים כלכליים לפיתוח שדות קטנים</t>
  </si>
  <si>
    <t>פיתוח טכנולוגיות הפקה מתקדמות</t>
  </si>
  <si>
    <t>בניית תשתיות משותפות לשדות שוליים</t>
  </si>
  <si>
    <t>מעבר להפקה באמצעות טכנולוגיות חדשניות</t>
  </si>
  <si>
    <t>קידום רשת חכמה (Smart Grid)</t>
  </si>
  <si>
    <t>אגירה עונתית</t>
  </si>
  <si>
    <t>2040-2050</t>
  </si>
  <si>
    <t>2030-2040</t>
  </si>
  <si>
    <t>2025-2030</t>
  </si>
  <si>
    <t>ייבוא דרך מצוף ימי</t>
  </si>
  <si>
    <t>ייבוא מימן</t>
  </si>
  <si>
    <t>פיילוט תדלוק מימן</t>
  </si>
  <si>
    <t>הפעלת כבל GSI</t>
  </si>
  <si>
    <t>אישור תמ"א ופרסום הנחיות לדו-שימוש חקלאי שתאפשר פריסת פאנלים מעל גידולים להקטנת מצוקת הקרקע.</t>
  </si>
  <si>
    <t>חקיקה המחייבת התקנת פאנלים ואגירה זעירה בכל מבנה מגורים או מסחר חדש או משופץ.</t>
  </si>
  <si>
    <t>קידום פרויקטי דגל</t>
  </si>
  <si>
    <t>קידום פרויקטים סולאריים גדולים מאד כגון אורון-צין בכדי להתקדם במהירות להגשת יעדי המתחדשות.</t>
  </si>
  <si>
    <t>מיצוי הגגות גדולים</t>
  </si>
  <si>
    <t>שימוש במקלות וגזרים כדי שעל כל גג גדול בישראל תוקם מערכת סולאריות עם אגירה.</t>
  </si>
  <si>
    <t>מערכות סולאריות צפות בים</t>
  </si>
  <si>
    <t>הכשרת שטחים ורשת בים התיכון לחיבור שדות סולאריים צפים גדולים בים.</t>
  </si>
  <si>
    <t>שדרוג יכולת הולכת החשמל הארצית לניהול מבוזר מבוסס AI המאזן ביקושים בזמן אמת ומתמודד עם אחוז גבוה מאד של מתחדשות.</t>
  </si>
  <si>
    <t>קישוריות אזורית חשמלית</t>
  </si>
  <si>
    <t>תכנון והקמת תשתיות לייבוא LNG</t>
  </si>
  <si>
    <t xml:space="preserve">תכנון והקמה של מתקני קבלה ואחסון יבשתיים או צפים וחיבורים לרשת ההולכה. קבלת החלטת ממשלה, הקמת מנהלת והקצאת תקציבים. </t>
  </si>
  <si>
    <t>תחילת ייבוא גז טבעי מונזל</t>
  </si>
  <si>
    <t>סיום הקמת המסופים ותחילת ייבוא LNG והזרמתו לרשת ההולכה.</t>
  </si>
  <si>
    <t>אתגרים: מחלוקות מתמשכות עם משרד החקלאות על יעדי יבול בצל הפאנלים.</t>
  </si>
  <si>
    <t>אתגרים: עלויות סקרים יקרות מאד וסיכון השקעה גבוה לחברות.</t>
  </si>
  <si>
    <t>אתגרים: חסמים פוליטיים מול ארה"ב וקבוצת המדינות המייצרות (NSG).</t>
  </si>
  <si>
    <t>אתגרים: חוסר בתקצוב ממשלתי ייעודי למו"פ ארוך טווח.</t>
  </si>
  <si>
    <t>אתגרים: עלות ייצור מימן ירוק גבוהה מאד (כרגע לא כלכלי מול סולר).</t>
  </si>
  <si>
    <t>אתגרים: עיכובי תקינה ופיקוח של רשות הכבאות.</t>
  </si>
  <si>
    <t>אתגרים: סכנת פגיעה באקוויפרים ובמי תהום.</t>
  </si>
  <si>
    <t>אתגרים: התנגדות ציבורית (תסמונת NIMBY) מצד רשויות מקומיות בדרום.</t>
  </si>
  <si>
    <t>אתגרים: אתגרים בפיזיקה של הפלזמה וייצובה לאורך זמן.</t>
  </si>
  <si>
    <t>אתגרים: תלוי בהסכמי נורמליזציה אזוריים יציבים (היום שאחרי).</t>
  </si>
  <si>
    <t>אתגרים: מחסור במאגרי הטמנה תת-קרקעיים מאושרים ובטוחים בישראל.</t>
  </si>
  <si>
    <t>אתגרים: עיכובים בירוקרטיים ובעיות שטח עם רשויות מקומיות מאטים את הביצוע.</t>
  </si>
  <si>
    <t>אתגרים: שחיקת ציוד מהירה במיוחד בקידוחים בסלעים לוהטים.</t>
  </si>
  <si>
    <t>אתגרים: דרישת ארה"ב לפיקוח צמוד על הטכנולוגיה.</t>
  </si>
  <si>
    <t>אתגרים: תלות מוחלטת בהתקדמות מיזם ITER העולמי וסטארט-אפים זרים.</t>
  </si>
  <si>
    <t>אתגרים: תלוי לחלוטין בהצלחת ה"מגה-פרויקט" הסעודי וביציבות האזורית.</t>
  </si>
  <si>
    <t>אתגרים: התנגדות חזקה של ארגוני סביבה, בג"ץ ודעת קהל עלולה לעכב אישורים.</t>
  </si>
  <si>
    <t>אתגרים: מחסור בידע טכנולוגי מקומי ותלות בחברות בינלאומיות.</t>
  </si>
  <si>
    <t>אתגרים: מחסור בידע הנדסי מקומי, סיכונים גיאולוגיים ורגולציה מורכבת.</t>
  </si>
  <si>
    <t>אתגרים: חשש גיאולוגי מגרימת רעידות אדמה מקומיות זעירות (Induced Seismicity).</t>
  </si>
  <si>
    <t>אתגרים: מורכבות פיננסית עליונה וקושי בגיוס הון פרויקטלי.</t>
  </si>
  <si>
    <t>אתגרים: הגבלות ייצוא ביטחוני-אסטרטגי (דו-שימושי).</t>
  </si>
  <si>
    <t>אתגרים: עלויות הסבת תשתיות המפעלים מכבידות על כושר התחרות שלהם.</t>
  </si>
  <si>
    <t>אתגרים: עלויות גבוהות וטכנולוגיה מורכבת שדורשת מומחיות בינלאומית.</t>
  </si>
  <si>
    <t>אתגרים: מורכבות תכנון וביצוע בין חברות שונות ורגולציה איטית.</t>
  </si>
  <si>
    <t>אתגרים: מתחים גיאופוליטיים עלולים לשבש שרשראות אספקה יציבות.</t>
  </si>
  <si>
    <t>אתגרים: פגיעה בנוף הפתוח באזורי תיירות מרכזיים.</t>
  </si>
  <si>
    <t>אתגרים: אבטחת מתקנים רגישים תחת איום רקטי מתמיד.</t>
  </si>
  <si>
    <t>אתגרים: רגולציה עירונית על מיקום מתקני פלזמה קרוב לריכוזי אוכלוסייה.</t>
  </si>
  <si>
    <t>אתגרים: דליפות טכניות בצנרת ישנה עקב נטיית המימן לפעפע מתכות מיושנות.</t>
  </si>
  <si>
    <t>אתגרים: התנגדויות סביבתיות ואזוריות קשות לצד מחסור בשטחים מתאימים.</t>
  </si>
  <si>
    <t>אתגרים: התנגדות האוצר והצורך באישורי כנסת עלולים לעכב את החקיקה.</t>
  </si>
  <si>
    <t>אתגרים: עלויות גבוהות ועמידות טכנולוגית של תשתיות ישנות מול דרישות גמישות</t>
  </si>
  <si>
    <t>אתגרים: ירידת יעילות (התקררות הדרגתית של סלעי המקור) לאורך עשרות שנים.</t>
  </si>
  <si>
    <t>אתגרים: התנגדות פוליטית פנימית וסביבתית עצומה למתקני פסולת.</t>
  </si>
  <si>
    <t>אתגרים: בשלות טכנולוגית עולמית עשויה להתעכב ולגלוש אחרי 2050.</t>
  </si>
  <si>
    <t>אתגרים: עלות מוצרים מקומיים מזנקת, מצריך מיגון מכסים פחמניים נגד יבוא מסחרי.</t>
  </si>
  <si>
    <t>אתגרים: לחץ בינלאומי, הסכמי אקלים וקשיי מימון בנקים ירוקים.</t>
  </si>
  <si>
    <t>אתגרים: עלויות טכנולוגיה גבוהות מאוד וסיכונים סביבתיים משמעותיים.</t>
  </si>
  <si>
    <r>
      <t>אתגרים:</t>
    </r>
    <r>
      <rPr>
        <sz val="9"/>
        <color rgb="FF64748B"/>
        <rFont val="Arial"/>
        <family val="2"/>
      </rPr>
      <t> יהיה צורך בתקנות מחייבות  קשיחות. לא כל גג נמצא באזור עם רשת מספיק חזקה.</t>
    </r>
  </si>
  <si>
    <r>
      <t>אתגרים: </t>
    </r>
    <r>
      <rPr>
        <sz val="9"/>
        <color rgb="FF64748B"/>
        <rFont val="Arial"/>
        <family val="2"/>
      </rPr>
      <t>עלויות כריית ליתיום ואורך חיי הסוללות בחום הישראלי.</t>
    </r>
  </si>
  <si>
    <r>
      <t>אתגרים: </t>
    </r>
    <r>
      <rPr>
        <sz val="9"/>
        <color rgb="FF64748B"/>
        <rFont val="Arial"/>
        <family val="2"/>
      </rPr>
      <t>מגבלות סטטוטוריות בהעברת קווי מתח עליון חדשים ברחבי הארץ.</t>
    </r>
  </si>
  <si>
    <r>
      <t>אתגרים: </t>
    </r>
    <r>
      <rPr>
        <sz val="9"/>
        <color rgb="FF64748B"/>
        <rFont val="Arial"/>
        <family val="2"/>
      </rPr>
      <t>הטכנולוגיה עדין אינה בשלה, יהיה צורך בתשתיות הולכה מורכבות, נדרשת בחינת עומק של ההשפעות האקולוגיות.</t>
    </r>
  </si>
  <si>
    <r>
      <t>אתגרים: </t>
    </r>
    <r>
      <rPr>
        <sz val="9"/>
        <color rgb="FF64748B"/>
        <rFont val="Arial"/>
        <family val="2"/>
      </rPr>
      <t>אובדן אנרגיה כפול בתהליך ההמרה הלוך ושוב (Round Trip Efficiency).</t>
    </r>
  </si>
  <si>
    <r>
      <t>אתגרים: </t>
    </r>
    <r>
      <rPr>
        <sz val="9"/>
        <color rgb="FF64748B"/>
        <rFont val="Arial"/>
        <family val="2"/>
      </rPr>
      <t>גיאופוליטיקה ומתיחות בינלאומית.</t>
    </r>
  </si>
  <si>
    <r>
      <t>אתגרים: </t>
    </r>
    <r>
      <rPr>
        <sz val="9"/>
        <color rgb="FF64748B"/>
        <rFont val="Arial"/>
        <family val="2"/>
      </rPr>
      <t>עלויות תחזוקה גבוהות ופגיעות אסטרטגית לחבלה ימית.</t>
    </r>
  </si>
  <si>
    <r>
      <t>אתגרים: </t>
    </r>
    <r>
      <rPr>
        <sz val="9"/>
        <color rgb="FF64748B"/>
        <rFont val="Arial"/>
        <family val="2"/>
      </rPr>
      <t>חציית המים הכלכליים של טורקיה.</t>
    </r>
  </si>
  <si>
    <t>בחינת חיבוריות למדינות שכנות</t>
  </si>
  <si>
    <t>בחינת החיבוריות למצרים, סעודיה, ירדן, סוריה ולבנון. כולל הקמת מתקנים סולאריים\רוח במדינות אלו.</t>
  </si>
  <si>
    <r>
      <t>אתגרים:</t>
    </r>
    <r>
      <rPr>
        <sz val="9"/>
        <color rgb="FF64748B"/>
        <rFont val="Arial"/>
        <family val="2"/>
      </rPr>
      <t> תיאום טכני של תדרי הרשתות ורגולציית סחר בינלאומית וגיאופוליטיקה.</t>
    </r>
  </si>
  <si>
    <t>הכפלת ה-GSI ל-2000MW</t>
  </si>
  <si>
    <r>
      <t>אתגרים: </t>
    </r>
    <r>
      <rPr>
        <sz val="9"/>
        <color rgb="FF64748B"/>
        <rFont val="Arial"/>
        <family val="2"/>
      </rPr>
      <t>חוסר היתכנות כלכלית אם אירופה מגיעה לרוויה מאנרגיה מתחדשת משלה.</t>
    </r>
  </si>
  <si>
    <r>
      <t>אתגרים: </t>
    </r>
    <r>
      <rPr>
        <sz val="9"/>
        <color rgb="FF64748B"/>
        <rFont val="Arial"/>
        <family val="2"/>
      </rPr>
      <t>אבטחת סייבר אזרחית ברמות הגבוהות ביותר למניעת קריסת דומינו אזורית.</t>
    </r>
  </si>
  <si>
    <r>
      <t xml:space="preserve">אתגרים: </t>
    </r>
    <r>
      <rPr>
        <sz val="9"/>
        <color rgb="FF64748B"/>
        <rFont val="Arial"/>
        <family val="2"/>
      </rPr>
      <t>קיבולת מוגבלת של מערכת ההולכה בנקודות הכניסה מהים.</t>
    </r>
  </si>
  <si>
    <r>
      <t xml:space="preserve">אתגרים: </t>
    </r>
    <r>
      <rPr>
        <sz val="9"/>
        <color rgb="FF64748B"/>
        <rFont val="Arial"/>
        <family val="2"/>
      </rPr>
      <t>זמינות מוגבלת של אוניות FSRU בשוק העולמי ותחרות על חוזי חכירה.</t>
    </r>
  </si>
  <si>
    <r>
      <t xml:space="preserve">אתגרים: </t>
    </r>
    <r>
      <rPr>
        <sz val="9"/>
        <color rgb="FF64748B"/>
        <rFont val="Arial"/>
        <family val="2"/>
      </rPr>
      <t>התנגדויות מקומיות (NIMBY) ודרישות בטיחות מחמירות (מרחקי הפרדה) באזורים צפופי אוכלוסין.</t>
    </r>
  </si>
  <si>
    <r>
      <t xml:space="preserve">אתגרים: </t>
    </r>
    <r>
      <rPr>
        <sz val="9"/>
        <color rgb="FF64748B"/>
        <rFont val="Arial"/>
        <family val="2"/>
      </rPr>
      <t>פערים טכנולוגיים בייצור המוני של מימן נוזלי וצורך בהחלפת רכיבי מתכת רגישים לשבריריות מימן.</t>
    </r>
  </si>
  <si>
    <r>
      <t>אתגרים: </t>
    </r>
    <r>
      <rPr>
        <sz val="9"/>
        <color rgb="FF64748B"/>
        <rFont val="Arial"/>
        <family val="2"/>
      </rPr>
      <t>חריגה בזמנים ובעלויות. מחירי ה-LNG.</t>
    </r>
  </si>
  <si>
    <t>קידום שינויי חקיקה נדרשים</t>
  </si>
  <si>
    <r>
      <t>אתגרים:</t>
    </r>
    <r>
      <rPr>
        <sz val="9"/>
        <color rgb="FF64748B"/>
        <rFont val="Arial"/>
        <family val="2"/>
      </rPr>
      <t> מורכבות ההליך , בעלי עניין רבים, התנגדות הציבור.</t>
    </r>
  </si>
  <si>
    <t>קידום פיילוט CCS</t>
  </si>
  <si>
    <r>
      <t>אתגרים:</t>
    </r>
    <r>
      <rPr>
        <sz val="9"/>
        <color rgb="FF64748B"/>
        <rFont val="Arial"/>
        <family val="2"/>
      </rPr>
      <t> פיילוט מורכב בעלויות גבוהות.</t>
    </r>
  </si>
  <si>
    <t>תכנון והקמה של רשת הולכה ארצית לפד"ח</t>
  </si>
  <si>
    <t>תכנון והקמה של רשת הולכה ארצית לפד"ח שתאסוף את הפד"ח מתחנות כוח ומפעלי תעשיה ותוביל אותו לאתרי הטמנה.</t>
  </si>
  <si>
    <r>
      <t>אתגרים:</t>
    </r>
    <r>
      <rPr>
        <sz val="9"/>
        <color rgb="FF64748B"/>
        <rFont val="Arial"/>
        <family val="2"/>
      </rPr>
      <t xml:space="preserve"> הליך תכנוני ארוך ופרויקט גדול ויקר לביצוע</t>
    </r>
  </si>
  <si>
    <t>תכנון והקמה של אתרים להטמנת פד"ח</t>
  </si>
  <si>
    <t>איתור, תכנון, והקמה של אתרים המתאימים להטמנת פד"ח.</t>
  </si>
  <si>
    <t>פיתוח שימוש (Utilization) בפחמן</t>
  </si>
  <si>
    <t>פיתוח טכנולוגיות לשימוש בפחמן מפד"ח כמקור לתעשייה הכימית או כמינרל וחלופה לאגרגטים</t>
  </si>
  <si>
    <r>
      <t>אתגרים:</t>
    </r>
    <r>
      <rPr>
        <sz val="9"/>
        <color rgb="FF64748B"/>
        <rFont val="Arial"/>
        <family val="2"/>
      </rPr>
      <t xml:space="preserve"> קיימים מחקרים בעולם ובישראל אך עדין אינם כלכליים.</t>
    </r>
  </si>
  <si>
    <t>לכידת פחמן מהאויר (DAC)</t>
  </si>
  <si>
    <t>הפעלת טכנולוגיות לכידת פחמן ישירות מהאוויר לפיצוי על פליטות "קשות להפחתה".</t>
  </si>
  <si>
    <r>
      <t>אתגרים:</t>
    </r>
    <r>
      <rPr>
        <sz val="9"/>
        <color rgb="FF64748B"/>
        <rFont val="Arial"/>
        <family val="2"/>
      </rPr>
      <t> צריכת אנרגיה גבוהה של התהליך, כיום אינו כלכלי.</t>
    </r>
  </si>
  <si>
    <t>שימוש בגז עם לכידת פחמן (CCS)</t>
  </si>
  <si>
    <t>סיום תיקוני החקיקה הנדשים להסדרת תת הקרקע, בין אם במסלול תיקון פקודת המכרות ובין אם בהכנת תמ"א.</t>
  </si>
  <si>
    <t>פרסום קול קורא והקצאת תקציב לקידום פרויקט ראשון להטמנת פד"ח.</t>
  </si>
  <si>
    <t xml:space="preserve"> בחינת הסכמי יבוא ארוכי טווח</t>
  </si>
  <si>
    <t>משא ומתן עם ספקיות מרכזיות כמו מצרים, סעודיה וקטאר על חוזים ארוכי טווח.</t>
  </si>
  <si>
    <r>
      <t xml:space="preserve">אתגרים: </t>
    </r>
    <r>
      <rPr>
        <sz val="9"/>
        <color rgb="FF64748B"/>
        <rFont val="Arial"/>
        <family val="2"/>
      </rPr>
      <t>מרחקים גדולים, גיאופוליטיקה.</t>
    </r>
  </si>
  <si>
    <t>התייעלות</t>
  </si>
  <si>
    <t>תימרוץ חיפוש ופיתוח מאגרי גז במים עמוקים</t>
  </si>
  <si>
    <t>תימרוץ חיפוש ופיתוח מאגרי גז טבעי קטנים</t>
  </si>
  <si>
    <t>1,000 MW</t>
  </si>
  <si>
    <t>2,000 MW</t>
  </si>
  <si>
    <t>5,000 MW</t>
  </si>
  <si>
    <t>3,000 MW</t>
  </si>
  <si>
    <t>פרסום תוכנית לאומית להתייעלות</t>
  </si>
  <si>
    <t>חובת בניה מאופסת אנרגיה</t>
  </si>
  <si>
    <t>עידוד חישמול תהליכי ייצור</t>
  </si>
  <si>
    <t>תוכנית לחישמול מלא של המבנים</t>
  </si>
  <si>
    <t>הנחיות לתכנון עירוני ייעיל</t>
  </si>
  <si>
    <t>בניה ירוקה בסטנדרט גבוה, הקטנת אפקט אי החום העירוני, עירוב שימושים, הצללות, עידוד תחבורה ציבורית וחלופות תחבורה</t>
  </si>
  <si>
    <t>הרחבת ייצור חשמל מגז טבעי</t>
  </si>
  <si>
    <t>איחסון גז אסטרטגי</t>
  </si>
  <si>
    <t>תוכנית הקמה וחידוש תחנות כוח בגז טבעי</t>
  </si>
  <si>
    <t>הסמכת יזמים להקמה וחידוש של תחנות כוח</t>
  </si>
  <si>
    <t>הקמה וחידוש תחנות כוח בגז טבעי</t>
  </si>
  <si>
    <t>גבוהה</t>
  </si>
  <si>
    <t>בינונית</t>
  </si>
  <si>
    <t>נמוכה</t>
  </si>
  <si>
    <t>חסמים</t>
  </si>
  <si>
    <t>שטח, עלות לדו-שימוש</t>
  </si>
  <si>
    <t>גיאופוליטיקה</t>
  </si>
  <si>
    <t>מחיר, שטח למסוף קליטה</t>
  </si>
  <si>
    <t>מחיר, בשלות טכנולוגית</t>
  </si>
  <si>
    <t>מחיר, גיאופוליטיקה</t>
  </si>
  <si>
    <t>התנגדות ציבורית</t>
  </si>
  <si>
    <t>עצלנות</t>
  </si>
  <si>
    <t>טכנולוגיה</t>
  </si>
  <si>
    <t>גיאופוליטיקה, מחיר</t>
  </si>
  <si>
    <t>מחיר, יעדים בינ"ל</t>
  </si>
  <si>
    <t>ציר מתחדשות</t>
  </si>
  <si>
    <t>ציר ייבוא חשמל</t>
  </si>
  <si>
    <t>ציר גז טבעי</t>
  </si>
  <si>
    <t>ציר התייעלות</t>
  </si>
  <si>
    <t>ציר טכנולוגיות עתיד</t>
  </si>
  <si>
    <t>ציר מימן</t>
  </si>
  <si>
    <t>ציר חזרה לפחם</t>
  </si>
  <si>
    <t>ציר</t>
  </si>
  <si>
    <t>תחום</t>
  </si>
  <si>
    <t>אספקת דלקים</t>
  </si>
  <si>
    <t>ציר הדלקים</t>
  </si>
  <si>
    <t>-</t>
  </si>
  <si>
    <t>ביטחון</t>
  </si>
  <si>
    <t>סביבה</t>
  </si>
  <si>
    <t>טרילמה</t>
  </si>
  <si>
    <t>סבירות</t>
  </si>
  <si>
    <t>פיתוח הרשת</t>
  </si>
  <si>
    <t>ציר הרשת</t>
  </si>
  <si>
    <t>תלות ביבוא</t>
  </si>
  <si>
    <t>גיוון</t>
  </si>
  <si>
    <t>יכולת אגירה</t>
  </si>
  <si>
    <t>אמינות רשת</t>
  </si>
  <si>
    <t>יתירות</t>
  </si>
  <si>
    <t>% מתחדשות</t>
  </si>
  <si>
    <t>יעילות</t>
  </si>
  <si>
    <t>איכות אויר</t>
  </si>
  <si>
    <t>פליטות מתאן</t>
  </si>
  <si>
    <t>עצימות פד"ח</t>
  </si>
  <si>
    <t>גישה לחשמל</t>
  </si>
  <si>
    <t>בישול נקי</t>
  </si>
  <si>
    <t>מחיר חשמל</t>
  </si>
  <si>
    <t>מחיר דלקים</t>
  </si>
  <si>
    <t>מחיר לתעשיה</t>
  </si>
  <si>
    <t>יעדים</t>
  </si>
  <si>
    <t>צעדים</t>
  </si>
  <si>
    <t>אימפקט</t>
  </si>
  <si>
    <t>30% מתחדשות ב-2030</t>
  </si>
  <si>
    <t>אימפקט תעסוקתי</t>
  </si>
  <si>
    <t>אימפקט חברתי</t>
  </si>
  <si>
    <t>אימפקט חוסן וביטחון לאומי</t>
  </si>
  <si>
    <t>עצימות X TWh\מ"שח תמ"ג</t>
  </si>
  <si>
    <t/>
  </si>
  <si>
    <t>הפחתת ביקושים</t>
  </si>
  <si>
    <t>רגולציה על בקשות לחוות שרתים</t>
  </si>
  <si>
    <t>תעריף חשמל מדורג למשקי בית</t>
  </si>
  <si>
    <t>רגולציית ניתוק (decoupling)</t>
  </si>
  <si>
    <t>פיתוח רגולציה המנתקת את הכנסות הספקיות מצריכת החשמל - תגמול על הפחתת צריכה</t>
  </si>
  <si>
    <t>תעריף נמוך לצריכה בסיסית, תעריף רגיל לצריכה סבירה ותעריף גבוה על צריכה עודפת</t>
  </si>
  <si>
    <t>קמפיין חיסכון בחשמל</t>
  </si>
  <si>
    <t>רגולציה להפחתת ביקושים</t>
  </si>
  <si>
    <t>קביעת סף טמפ' חימום וקירור, כיבוי מזגנים אוטו', כיבוי שלטים ותאורה דקורטיבית, ועוד</t>
  </si>
  <si>
    <t>הסבר על סף טמפ' חימום וקירור, לבוש קל בקיץ, ועוד</t>
  </si>
  <si>
    <t>שוויון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</si>
</sst>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rial"/>
      <family val="2"/>
      <charset val="177"/>
      <scheme val="minor"/>
    </font>
    <font>
      <b/>
      <sz val="14"/>
      <color rgb="FF1E293B"/>
      <name val="Arial"/>
      <family val="2"/>
    </font>
    <font>
      <b/>
      <sz val="14"/>
      <color rgb="FF0F172A"/>
      <name val="Arial"/>
      <family val="2"/>
    </font>
    <font>
      <sz val="9"/>
      <color rgb="FF64748B"/>
      <name val="Arial"/>
      <family val="2"/>
    </font>
    <font>
      <b/>
      <sz val="9"/>
      <color rgb="FF64748B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1" tint="0.34998626667073579"/>
      <name val="Arial"/>
      <family val="2"/>
    </font>
    <font>
      <b/>
      <sz val="14"/>
      <color theme="1" tint="0.499984740745262"/>
      <name val="Arial"/>
      <family val="2"/>
    </font>
    <font>
      <sz val="12"/>
      <color theme="1" tint="0.34998626667073579"/>
      <name val="Arial"/>
      <family val="2"/>
    </font>
    <font>
      <b/>
      <sz val="12"/>
      <color theme="1" tint="0.34998626667073579"/>
      <name val="Arial"/>
      <family val="2"/>
    </font>
    <font>
      <sz val="12"/>
      <color theme="1" tint="0.34998626667073579"/>
      <name val="Arial"/>
      <family val="2"/>
      <charset val="177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 style="medium">
        <color rgb="FFE2E8F0"/>
      </top>
      <bottom/>
      <diagonal/>
    </border>
    <border>
      <left/>
      <right/>
      <top/>
      <bottom style="medium">
        <color rgb="FFE2E8F0"/>
      </bottom>
      <diagonal/>
    </border>
    <border>
      <left/>
      <right style="medium">
        <color rgb="FFE2E8F0"/>
      </right>
      <top/>
      <bottom style="medium">
        <color rgb="FFE2E8F0"/>
      </bottom>
      <diagonal/>
    </border>
    <border>
      <left style="medium">
        <color rgb="FFE2E8F0"/>
      </left>
      <right/>
      <top style="medium">
        <color rgb="FFE2E8F0"/>
      </top>
      <bottom/>
      <diagonal/>
    </border>
    <border>
      <left style="medium">
        <color rgb="FFE2E8F0"/>
      </left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theme="2"/>
      </bottom>
      <diagonal/>
    </border>
    <border>
      <left style="medium">
        <color theme="2"/>
      </left>
      <right/>
      <top/>
      <bottom/>
      <diagonal/>
    </border>
    <border>
      <left style="medium">
        <color theme="2"/>
      </left>
      <right style="medium">
        <color theme="2"/>
      </right>
      <top/>
      <bottom/>
      <diagonal/>
    </border>
    <border>
      <left/>
      <right style="medium">
        <color theme="2"/>
      </right>
      <top/>
      <bottom/>
      <diagonal/>
    </border>
    <border>
      <left style="medium">
        <color rgb="FFE2E8F0"/>
      </left>
      <right style="medium">
        <color theme="2"/>
      </right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 style="medium">
        <color rgb="FFE2E8F0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rgb="FFE2E8F0"/>
      </bottom>
      <diagonal/>
    </border>
    <border>
      <left style="medium">
        <color rgb="FFE2E8F0"/>
      </left>
      <right/>
      <top/>
      <bottom style="medium">
        <color theme="2"/>
      </bottom>
      <diagonal/>
    </border>
    <border>
      <left style="medium">
        <color rgb="FFE2E8F0"/>
      </left>
      <right style="medium">
        <color theme="2"/>
      </right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rgb="FFE2E8F0"/>
      </right>
      <top style="medium">
        <color rgb="FFE2E8F0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 readingOrder="2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right" vertical="top" wrapText="1" readingOrder="2"/>
    </xf>
    <xf numFmtId="0" fontId="3" fillId="2" borderId="0" xfId="0" applyFont="1" applyFill="1" applyAlignment="1">
      <alignment horizontal="right" vertical="top" wrapText="1" readingOrder="2"/>
    </xf>
    <xf numFmtId="0" fontId="3" fillId="5" borderId="0" xfId="0" applyFont="1" applyFill="1" applyAlignment="1">
      <alignment horizontal="right" vertical="top" wrapText="1" readingOrder="2"/>
    </xf>
    <xf numFmtId="0" fontId="4" fillId="5" borderId="0" xfId="0" applyFont="1" applyFill="1" applyAlignment="1">
      <alignment horizontal="right" vertical="top" wrapText="1" readingOrder="2"/>
    </xf>
    <xf numFmtId="0" fontId="0" fillId="0" borderId="0" xfId="0" applyAlignment="1">
      <alignment vertical="top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0" fillId="0" borderId="0" xfId="0" applyAlignment="1"/>
    <xf numFmtId="0" fontId="1" fillId="8" borderId="0" xfId="0" applyFont="1" applyFill="1" applyAlignment="1">
      <alignment horizontal="center" vertical="center" textRotation="180" readingOrder="2"/>
    </xf>
    <xf numFmtId="0" fontId="4" fillId="2" borderId="7" xfId="0" applyFont="1" applyFill="1" applyBorder="1" applyAlignment="1">
      <alignment horizontal="right" vertical="top" wrapText="1" readingOrder="2"/>
    </xf>
    <xf numFmtId="0" fontId="3" fillId="2" borderId="7" xfId="0" applyFont="1" applyFill="1" applyBorder="1" applyAlignment="1">
      <alignment horizontal="right" vertical="top" wrapText="1" readingOrder="2"/>
    </xf>
    <xf numFmtId="0" fontId="1" fillId="2" borderId="0" xfId="0" applyFont="1" applyFill="1" applyAlignment="1">
      <alignment horizontal="center" vertical="top" wrapText="1" readingOrder="2"/>
    </xf>
    <xf numFmtId="0" fontId="2" fillId="2" borderId="0" xfId="0" applyFont="1" applyFill="1" applyAlignment="1">
      <alignment horizontal="center" vertical="top" wrapText="1" readingOrder="2"/>
    </xf>
    <xf numFmtId="0" fontId="0" fillId="0" borderId="0" xfId="0" applyAlignment="1">
      <alignment horizontal="center" vertical="top"/>
    </xf>
    <xf numFmtId="0" fontId="1" fillId="6" borderId="0" xfId="0" applyFont="1" applyFill="1" applyBorder="1" applyAlignment="1">
      <alignment horizontal="center" vertical="top" textRotation="180" readingOrder="2"/>
    </xf>
    <xf numFmtId="0" fontId="1" fillId="8" borderId="0" xfId="0" applyFont="1" applyFill="1" applyBorder="1" applyAlignment="1">
      <alignment horizontal="center" vertical="top" textRotation="180" readingOrder="2"/>
    </xf>
    <xf numFmtId="0" fontId="1" fillId="5" borderId="0" xfId="0" applyFont="1" applyFill="1" applyAlignment="1">
      <alignment horizontal="center" vertical="top" wrapText="1" readingOrder="2"/>
    </xf>
    <xf numFmtId="0" fontId="1" fillId="8" borderId="0" xfId="0" applyFont="1" applyFill="1" applyAlignment="1">
      <alignment horizontal="center" vertical="top" textRotation="180" readingOrder="2"/>
    </xf>
    <xf numFmtId="0" fontId="9" fillId="20" borderId="5" xfId="0" applyFont="1" applyFill="1" applyBorder="1" applyAlignment="1">
      <alignment horizontal="right" vertical="center"/>
    </xf>
    <xf numFmtId="164" fontId="9" fillId="20" borderId="5" xfId="0" applyNumberFormat="1" applyFont="1" applyFill="1" applyBorder="1" applyAlignment="1">
      <alignment horizontal="left" vertical="center" wrapText="1"/>
    </xf>
    <xf numFmtId="0" fontId="9" fillId="20" borderId="6" xfId="0" applyFont="1" applyFill="1" applyBorder="1" applyAlignment="1">
      <alignment horizontal="right" vertical="center"/>
    </xf>
    <xf numFmtId="164" fontId="9" fillId="20" borderId="6" xfId="0" applyNumberFormat="1" applyFont="1" applyFill="1" applyBorder="1" applyAlignment="1">
      <alignment horizontal="left" vertical="center" wrapText="1"/>
    </xf>
    <xf numFmtId="0" fontId="11" fillId="20" borderId="6" xfId="0" applyFont="1" applyFill="1" applyBorder="1" applyAlignment="1">
      <alignment horizontal="center" vertical="center"/>
    </xf>
    <xf numFmtId="164" fontId="11" fillId="20" borderId="6" xfId="0" applyNumberFormat="1" applyFont="1" applyFill="1" applyBorder="1" applyAlignment="1">
      <alignment horizontal="left" vertical="center" wrapText="1"/>
    </xf>
    <xf numFmtId="0" fontId="0" fillId="0" borderId="0" xfId="0" applyFont="1"/>
    <xf numFmtId="0" fontId="11" fillId="20" borderId="6" xfId="0" applyFont="1" applyFill="1" applyBorder="1" applyAlignment="1">
      <alignment horizontal="right" vertical="center" readingOrder="2"/>
    </xf>
    <xf numFmtId="0" fontId="11" fillId="20" borderId="6" xfId="0" applyFont="1" applyFill="1" applyBorder="1" applyAlignment="1">
      <alignment horizontal="right" vertical="center"/>
    </xf>
    <xf numFmtId="0" fontId="10" fillId="20" borderId="0" xfId="0" applyFont="1" applyFill="1" applyBorder="1" applyAlignment="1">
      <alignment horizontal="center" vertical="center"/>
    </xf>
    <xf numFmtId="164" fontId="10" fillId="20" borderId="0" xfId="0" applyNumberFormat="1" applyFont="1" applyFill="1" applyBorder="1" applyAlignment="1">
      <alignment horizontal="left" vertical="center" wrapText="1"/>
    </xf>
    <xf numFmtId="0" fontId="11" fillId="20" borderId="0" xfId="0" applyFont="1" applyFill="1" applyBorder="1" applyAlignment="1">
      <alignment horizontal="center" vertical="center"/>
    </xf>
    <xf numFmtId="164" fontId="11" fillId="20" borderId="0" xfId="0" applyNumberFormat="1" applyFont="1" applyFill="1" applyBorder="1" applyAlignment="1">
      <alignment horizontal="left" vertical="center" wrapText="1"/>
    </xf>
    <xf numFmtId="0" fontId="6" fillId="9" borderId="9" xfId="0" applyFont="1" applyFill="1" applyBorder="1" applyAlignment="1">
      <alignment horizontal="center" vertical="center"/>
    </xf>
    <xf numFmtId="164" fontId="10" fillId="20" borderId="11" xfId="0" applyNumberFormat="1" applyFont="1" applyFill="1" applyBorder="1" applyAlignment="1">
      <alignment horizontal="left" vertical="center" wrapText="1"/>
    </xf>
    <xf numFmtId="0" fontId="10" fillId="20" borderId="12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right" vertical="center" readingOrder="2"/>
    </xf>
    <xf numFmtId="0" fontId="11" fillId="20" borderId="13" xfId="0" applyFont="1" applyFill="1" applyBorder="1" applyAlignment="1">
      <alignment horizontal="right" vertical="center"/>
    </xf>
    <xf numFmtId="164" fontId="9" fillId="20" borderId="2" xfId="0" applyNumberFormat="1" applyFont="1" applyFill="1" applyBorder="1" applyAlignment="1">
      <alignment horizontal="left" vertical="center" wrapText="1"/>
    </xf>
    <xf numFmtId="164" fontId="9" fillId="20" borderId="0" xfId="0" applyNumberFormat="1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center" vertical="center" wrapText="1"/>
    </xf>
    <xf numFmtId="164" fontId="9" fillId="20" borderId="14" xfId="0" applyNumberFormat="1" applyFont="1" applyFill="1" applyBorder="1" applyAlignment="1">
      <alignment horizontal="left" vertical="center" wrapText="1"/>
    </xf>
    <xf numFmtId="164" fontId="9" fillId="20" borderId="11" xfId="0" applyNumberFormat="1" applyFont="1" applyFill="1" applyBorder="1" applyAlignment="1">
      <alignment horizontal="left" vertical="center" wrapText="1"/>
    </xf>
    <xf numFmtId="164" fontId="11" fillId="20" borderId="11" xfId="0" applyNumberFormat="1" applyFont="1" applyFill="1" applyBorder="1" applyAlignment="1">
      <alignment horizontal="left" vertical="center" wrapText="1"/>
    </xf>
    <xf numFmtId="164" fontId="11" fillId="20" borderId="16" xfId="0" applyNumberFormat="1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164" fontId="9" fillId="20" borderId="15" xfId="0" applyNumberFormat="1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11" fillId="20" borderId="18" xfId="0" applyFont="1" applyFill="1" applyBorder="1" applyAlignment="1">
      <alignment horizontal="center" vertical="center"/>
    </xf>
    <xf numFmtId="0" fontId="11" fillId="20" borderId="19" xfId="0" applyFont="1" applyFill="1" applyBorder="1" applyAlignment="1">
      <alignment horizontal="center" vertical="center"/>
    </xf>
    <xf numFmtId="164" fontId="11" fillId="20" borderId="20" xfId="0" applyNumberFormat="1" applyFont="1" applyFill="1" applyBorder="1" applyAlignment="1">
      <alignment horizontal="left" vertical="center" wrapText="1"/>
    </xf>
    <xf numFmtId="164" fontId="11" fillId="20" borderId="18" xfId="0" applyNumberFormat="1" applyFont="1" applyFill="1" applyBorder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top" textRotation="180" readingOrder="2"/>
    </xf>
    <xf numFmtId="0" fontId="1" fillId="4" borderId="23" xfId="0" applyFont="1" applyFill="1" applyBorder="1" applyAlignment="1">
      <alignment horizontal="center" vertical="top" wrapText="1" readingOrder="2"/>
    </xf>
    <xf numFmtId="0" fontId="2" fillId="4" borderId="23" xfId="0" applyFont="1" applyFill="1" applyBorder="1" applyAlignment="1">
      <alignment horizontal="center" vertical="top" wrapText="1" readingOrder="2"/>
    </xf>
    <xf numFmtId="0" fontId="1" fillId="4" borderId="24" xfId="0" applyFont="1" applyFill="1" applyBorder="1" applyAlignment="1">
      <alignment horizontal="center" vertical="top" wrapText="1" readingOrder="2"/>
    </xf>
    <xf numFmtId="0" fontId="1" fillId="6" borderId="0" xfId="0" applyFont="1" applyFill="1" applyBorder="1" applyAlignment="1">
      <alignment horizontal="center" vertical="center" textRotation="180" readingOrder="2"/>
    </xf>
    <xf numFmtId="0" fontId="3" fillId="4" borderId="0" xfId="0" applyFont="1" applyFill="1" applyBorder="1" applyAlignment="1">
      <alignment horizontal="right" vertical="top" wrapText="1" readingOrder="2"/>
    </xf>
    <xf numFmtId="0" fontId="3" fillId="4" borderId="12" xfId="0" applyFont="1" applyFill="1" applyBorder="1" applyAlignment="1">
      <alignment horizontal="right" vertical="top" wrapText="1" readingOrder="2"/>
    </xf>
    <xf numFmtId="0" fontId="4" fillId="4" borderId="0" xfId="0" applyFont="1" applyFill="1" applyBorder="1" applyAlignment="1">
      <alignment horizontal="right" vertical="top" wrapText="1" readingOrder="2"/>
    </xf>
    <xf numFmtId="0" fontId="4" fillId="4" borderId="12" xfId="0" applyFont="1" applyFill="1" applyBorder="1" applyAlignment="1">
      <alignment horizontal="right" vertical="top" wrapText="1" readingOrder="2"/>
    </xf>
    <xf numFmtId="0" fontId="1" fillId="4" borderId="0" xfId="0" applyFont="1" applyFill="1" applyBorder="1" applyAlignment="1">
      <alignment horizontal="center" vertical="top" wrapText="1" readingOrder="2"/>
    </xf>
    <xf numFmtId="0" fontId="2" fillId="4" borderId="0" xfId="0" applyFont="1" applyFill="1" applyBorder="1" applyAlignment="1">
      <alignment horizontal="center" vertical="top" wrapText="1" readingOrder="2"/>
    </xf>
    <xf numFmtId="0" fontId="1" fillId="4" borderId="12" xfId="0" applyFont="1" applyFill="1" applyBorder="1" applyAlignment="1">
      <alignment horizontal="center" vertical="top" wrapText="1" readingOrder="2"/>
    </xf>
    <xf numFmtId="0" fontId="1" fillId="6" borderId="20" xfId="0" applyFont="1" applyFill="1" applyBorder="1" applyAlignment="1">
      <alignment horizontal="center" vertical="center" textRotation="180" readingOrder="2"/>
    </xf>
    <xf numFmtId="0" fontId="4" fillId="4" borderId="20" xfId="0" applyFont="1" applyFill="1" applyBorder="1" applyAlignment="1">
      <alignment horizontal="right" vertical="top" wrapText="1" readingOrder="2"/>
    </xf>
    <xf numFmtId="0" fontId="4" fillId="4" borderId="26" xfId="0" applyFont="1" applyFill="1" applyBorder="1" applyAlignment="1">
      <alignment horizontal="right" vertical="top" wrapText="1" readingOrder="2"/>
    </xf>
    <xf numFmtId="0" fontId="6" fillId="12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textRotation="180" readingOrder="2"/>
    </xf>
    <xf numFmtId="0" fontId="1" fillId="6" borderId="10" xfId="0" applyFont="1" applyFill="1" applyBorder="1" applyAlignment="1">
      <alignment horizontal="center" vertical="center" textRotation="180" readingOrder="2"/>
    </xf>
    <xf numFmtId="0" fontId="1" fillId="6" borderId="25" xfId="0" applyFont="1" applyFill="1" applyBorder="1" applyAlignment="1">
      <alignment horizontal="center" vertical="center" textRotation="180" readingOrder="2"/>
    </xf>
    <xf numFmtId="0" fontId="1" fillId="8" borderId="0" xfId="0" applyFont="1" applyFill="1" applyBorder="1" applyAlignment="1">
      <alignment horizontal="center" vertical="center" textRotation="180" readingOrder="2"/>
    </xf>
    <xf numFmtId="0" fontId="1" fillId="8" borderId="0" xfId="0" applyFont="1" applyFill="1" applyAlignment="1">
      <alignment horizontal="center" vertical="center" textRotation="180" readingOrder="2"/>
    </xf>
    <xf numFmtId="0" fontId="0" fillId="12" borderId="3" xfId="0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textRotation="180" readingOrder="2"/>
    </xf>
    <xf numFmtId="0" fontId="8" fillId="7" borderId="7" xfId="0" applyFont="1" applyFill="1" applyBorder="1" applyAlignment="1">
      <alignment horizontal="center" vertical="center" textRotation="180" readingOrder="2"/>
    </xf>
    <xf numFmtId="0" fontId="8" fillId="7" borderId="8" xfId="0" applyFont="1" applyFill="1" applyBorder="1" applyAlignment="1">
      <alignment horizontal="center" vertical="center" textRotation="180" readingOrder="2"/>
    </xf>
    <xf numFmtId="0" fontId="1" fillId="7" borderId="2" xfId="0" applyFont="1" applyFill="1" applyBorder="1" applyAlignment="1">
      <alignment horizontal="center" vertical="center" textRotation="180" readingOrder="2"/>
    </xf>
    <xf numFmtId="0" fontId="1" fillId="7" borderId="0" xfId="0" applyFont="1" applyFill="1" applyBorder="1" applyAlignment="1">
      <alignment horizontal="center" vertical="center" textRotation="180" readingOrder="2"/>
    </xf>
    <xf numFmtId="0" fontId="6" fillId="13" borderId="1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BDFF"/>
      <color rgb="FFCC99FF"/>
      <color rgb="FFFF99FF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Sheet1!$E$10:$E$13</c:f>
              <c:numCache>
                <c:formatCode>0.0</c:formatCode>
                <c:ptCount val="4"/>
                <c:pt idx="0">
                  <c:v>8.8000000000000007</c:v>
                </c:pt>
                <c:pt idx="1">
                  <c:v>26.3</c:v>
                </c:pt>
                <c:pt idx="2">
                  <c:v>56.9</c:v>
                </c:pt>
                <c:pt idx="3">
                  <c:v>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Sheet1!$C$10:$C$13</c:f>
              <c:numCache>
                <c:formatCode>0.0</c:formatCode>
                <c:ptCount val="4"/>
                <c:pt idx="0">
                  <c:v>1.3</c:v>
                </c:pt>
                <c:pt idx="1">
                  <c:v>3.9</c:v>
                </c:pt>
                <c:pt idx="2">
                  <c:v>8.5</c:v>
                </c:pt>
                <c:pt idx="3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Sheet1!$F$10:$F$13</c:f>
              <c:numCache>
                <c:formatCode>0.0</c:formatCode>
                <c:ptCount val="4"/>
                <c:pt idx="0">
                  <c:v>3.5</c:v>
                </c:pt>
                <c:pt idx="1">
                  <c:v>10.5</c:v>
                </c:pt>
                <c:pt idx="2">
                  <c:v>22.8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Sheet1!$G$10:$G$13</c:f>
              <c:numCache>
                <c:formatCode>0.0</c:formatCode>
                <c:ptCount val="4"/>
                <c:pt idx="0">
                  <c:v>5.3</c:v>
                </c:pt>
                <c:pt idx="1">
                  <c:v>15.8</c:v>
                </c:pt>
                <c:pt idx="2">
                  <c:v>34.200000000000003</c:v>
                </c:pt>
                <c:pt idx="3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Sheet1!$H$10:$H$13</c:f>
              <c:numCache>
                <c:formatCode>0.0</c:formatCode>
                <c:ptCount val="4"/>
                <c:pt idx="0">
                  <c:v>6.1</c:v>
                </c:pt>
                <c:pt idx="1">
                  <c:v>18.399999999999999</c:v>
                </c:pt>
                <c:pt idx="2">
                  <c:v>39.9</c:v>
                </c:pt>
                <c:pt idx="3">
                  <c:v>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Sheet1!$I$10:$I$13</c:f>
              <c:numCache>
                <c:formatCode>0.0</c:formatCode>
                <c:ptCount val="4"/>
                <c:pt idx="0">
                  <c:v>5.3</c:v>
                </c:pt>
                <c:pt idx="1">
                  <c:v>15.8</c:v>
                </c:pt>
                <c:pt idx="2">
                  <c:v>34.200000000000003</c:v>
                </c:pt>
                <c:pt idx="3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Sheet1!$J$10:$J$13</c:f>
              <c:numCache>
                <c:formatCode>0.0</c:formatCode>
                <c:ptCount val="4"/>
                <c:pt idx="0">
                  <c:v>5.3</c:v>
                </c:pt>
                <c:pt idx="1">
                  <c:v>15.8</c:v>
                </c:pt>
                <c:pt idx="2">
                  <c:v>34.200000000000003</c:v>
                </c:pt>
                <c:pt idx="3">
                  <c:v>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Sheet1!$K$10:$K$13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Sheet1!$L$10:$L$13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Sheet1!$M$10:$M$13</c:f>
              <c:numCache>
                <c:formatCode>0.0</c:formatCode>
                <c:ptCount val="4"/>
                <c:pt idx="0">
                  <c:v>6.1</c:v>
                </c:pt>
                <c:pt idx="1">
                  <c:v>18.399999999999999</c:v>
                </c:pt>
                <c:pt idx="2">
                  <c:v>39.9</c:v>
                </c:pt>
                <c:pt idx="3">
                  <c:v>61.3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Sheet1!$Q$10:$Q$13</c:f>
              <c:numCache>
                <c:formatCode>0.0</c:formatCode>
                <c:ptCount val="4"/>
                <c:pt idx="0">
                  <c:v>1.1000000000000001</c:v>
                </c:pt>
                <c:pt idx="1">
                  <c:v>3.2</c:v>
                </c:pt>
                <c:pt idx="2">
                  <c:v>6.8</c:v>
                </c:pt>
                <c:pt idx="3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Sheet1!$N$10:$N$13</c:f>
              <c:numCache>
                <c:formatCode>0.0</c:formatCode>
                <c:ptCount val="4"/>
                <c:pt idx="0">
                  <c:v>6.3</c:v>
                </c:pt>
                <c:pt idx="1">
                  <c:v>18.899999999999999</c:v>
                </c:pt>
                <c:pt idx="2">
                  <c:v>41</c:v>
                </c:pt>
                <c:pt idx="3">
                  <c:v>63.1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Sheet1!$O$10:$O$13</c:f>
              <c:numCache>
                <c:formatCode>0.0</c:formatCode>
                <c:ptCount val="4"/>
                <c:pt idx="0">
                  <c:v>3.5</c:v>
                </c:pt>
                <c:pt idx="1">
                  <c:v>10.5</c:v>
                </c:pt>
                <c:pt idx="2">
                  <c:v>22.8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Sheet1!$P$10:$P$13</c:f>
              <c:numCache>
                <c:formatCode>0.0</c:formatCode>
                <c:ptCount val="4"/>
                <c:pt idx="0">
                  <c:v>3.5</c:v>
                </c:pt>
                <c:pt idx="1">
                  <c:v>10.5</c:v>
                </c:pt>
                <c:pt idx="2">
                  <c:v>22.8</c:v>
                </c:pt>
                <c:pt idx="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Sheet1!$R$10:$R$13</c:f>
              <c:numCache>
                <c:formatCode>0.0</c:formatCode>
                <c:ptCount val="4"/>
                <c:pt idx="0">
                  <c:v>0.5</c:v>
                </c:pt>
                <c:pt idx="1">
                  <c:v>1.6</c:v>
                </c:pt>
                <c:pt idx="2">
                  <c:v>3.4</c:v>
                </c:pt>
                <c:pt idx="3">
                  <c:v>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Sheet1!$S$10:$S$13</c:f>
              <c:numCache>
                <c:formatCode>0.0</c:formatCode>
                <c:ptCount val="4"/>
                <c:pt idx="0">
                  <c:v>3.1</c:v>
                </c:pt>
                <c:pt idx="1">
                  <c:v>9.1999999999999993</c:v>
                </c:pt>
                <c:pt idx="2">
                  <c:v>19.899999999999999</c:v>
                </c:pt>
                <c:pt idx="3">
                  <c:v>30.7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C-45A2-B1C0-B68CD6DA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Sheet1!$E$21:$E$24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Sheet1!$C$21:$C$24</c:f>
              <c:numCache>
                <c:formatCode>0.0</c:formatCode>
                <c:ptCount val="4"/>
                <c:pt idx="0">
                  <c:v>-0.5</c:v>
                </c:pt>
                <c:pt idx="1">
                  <c:v>-1.6</c:v>
                </c:pt>
                <c:pt idx="2">
                  <c:v>-3.4</c:v>
                </c:pt>
                <c:pt idx="3">
                  <c:v>-5.3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Sheet1!$F$21:$F$24</c:f>
              <c:numCache>
                <c:formatCode>0.0</c:formatCode>
                <c:ptCount val="4"/>
                <c:pt idx="0">
                  <c:v>1.1000000000000001</c:v>
                </c:pt>
                <c:pt idx="1">
                  <c:v>3.2</c:v>
                </c:pt>
                <c:pt idx="2">
                  <c:v>6.8</c:v>
                </c:pt>
                <c:pt idx="3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Sheet1!$G$21:$G$24</c:f>
              <c:numCache>
                <c:formatCode>0.0</c:formatCode>
                <c:ptCount val="4"/>
                <c:pt idx="0">
                  <c:v>2.4</c:v>
                </c:pt>
                <c:pt idx="1">
                  <c:v>7.1</c:v>
                </c:pt>
                <c:pt idx="2">
                  <c:v>15.4</c:v>
                </c:pt>
                <c:pt idx="3">
                  <c:v>23.7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Sheet1!$H$21:$H$24</c:f>
              <c:numCache>
                <c:formatCode>0.0</c:formatCode>
                <c:ptCount val="4"/>
                <c:pt idx="0">
                  <c:v>0.6</c:v>
                </c:pt>
                <c:pt idx="1">
                  <c:v>1.8</c:v>
                </c:pt>
                <c:pt idx="2">
                  <c:v>4</c:v>
                </c:pt>
                <c:pt idx="3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Sheet1!$I$21:$I$24</c:f>
              <c:numCache>
                <c:formatCode>0.0</c:formatCode>
                <c:ptCount val="4"/>
                <c:pt idx="0">
                  <c:v>2.1</c:v>
                </c:pt>
                <c:pt idx="1">
                  <c:v>6.3</c:v>
                </c:pt>
                <c:pt idx="2">
                  <c:v>13.7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Sheet1!$J$21:$J$24</c:f>
              <c:numCache>
                <c:formatCode>0.0</c:formatCode>
                <c:ptCount val="4"/>
                <c:pt idx="0">
                  <c:v>2.1</c:v>
                </c:pt>
                <c:pt idx="1">
                  <c:v>6.3</c:v>
                </c:pt>
                <c:pt idx="2">
                  <c:v>13.7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Sheet1!$K$21:$K$24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Sheet1!$L$21:$L$24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Sheet1!$M$21:$M$24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Sheet1!$Q$21:$Q$24</c:f>
              <c:numCache>
                <c:formatCode>0.0</c:formatCode>
                <c:ptCount val="4"/>
                <c:pt idx="0">
                  <c:v>0.4</c:v>
                </c:pt>
                <c:pt idx="1">
                  <c:v>1.3</c:v>
                </c:pt>
                <c:pt idx="2">
                  <c:v>2.7</c:v>
                </c:pt>
                <c:pt idx="3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Sheet1!$N$21:$N$24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Sheet1!$O$21:$O$24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Sheet1!$P$21:$P$24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Sheet1!$R$21:$R$24</c:f>
              <c:numCache>
                <c:formatCode>0.0</c:formatCode>
                <c:ptCount val="4"/>
                <c:pt idx="0">
                  <c:v>0.2</c:v>
                </c:pt>
                <c:pt idx="1">
                  <c:v>0.6</c:v>
                </c:pt>
                <c:pt idx="2">
                  <c:v>1.4</c:v>
                </c:pt>
                <c:pt idx="3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Sheet1!$S$21:$S$24</c:f>
              <c:numCache>
                <c:formatCode>0.0</c:formatCode>
                <c:ptCount val="4"/>
                <c:pt idx="0">
                  <c:v>2.8</c:v>
                </c:pt>
                <c:pt idx="1">
                  <c:v>8.3000000000000007</c:v>
                </c:pt>
                <c:pt idx="2">
                  <c:v>17.899999999999999</c:v>
                </c:pt>
                <c:pt idx="3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A-4B7B-AB57-0E9840A0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Sheet1!$E$32:$E$35</c:f>
              <c:numCache>
                <c:formatCode>0.0</c:formatCode>
                <c:ptCount val="4"/>
                <c:pt idx="0">
                  <c:v>0.5</c:v>
                </c:pt>
                <c:pt idx="1">
                  <c:v>-0.5</c:v>
                </c:pt>
                <c:pt idx="2">
                  <c:v>-1.5</c:v>
                </c:pt>
                <c:pt idx="3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Sheet1!$C$32:$C$35</c:f>
              <c:numCache>
                <c:formatCode>0.0</c:formatCode>
                <c:ptCount val="4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Sheet1!$F$32:$F$35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Sheet1!$G$32:$G$35</c:f>
              <c:numCache>
                <c:formatCode>0.0</c:formatCode>
                <c:ptCount val="4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Sheet1!$H$32:$H$35</c:f>
              <c:numCache>
                <c:formatCode>0.0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Sheet1!$I$32:$I$35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Sheet1!$J$32:$J$35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Sheet1!$K$32:$K$35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Sheet1!$L$32:$L$35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Sheet1!$M$32:$M$35</c:f>
              <c:numCache>
                <c:formatCode>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Sheet1!$Q$32:$Q$35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Sheet1!$N$32:$N$35</c:f>
              <c:numCache>
                <c:formatCode>0.0</c:formatCode>
                <c:ptCount val="4"/>
                <c:pt idx="0">
                  <c:v>1.5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Sheet1!$O$32:$O$35</c:f>
              <c:numCache>
                <c:formatCode>0.0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Sheet1!$P$32:$P$35</c:f>
              <c:numCache>
                <c:formatCode>0.0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Sheet1!$R$32:$R$35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Sheet1!$S$32:$S$35</c:f>
              <c:numCache>
                <c:formatCode>0.0</c:formatCode>
                <c:ptCount val="4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Sheet1!$A$10:$A$13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Sheet1!$C$10:$C$13</c:f>
              <c:numCache>
                <c:formatCode>0.0</c:formatCode>
                <c:ptCount val="4"/>
                <c:pt idx="0">
                  <c:v>1.3</c:v>
                </c:pt>
                <c:pt idx="1">
                  <c:v>3.9</c:v>
                </c:pt>
                <c:pt idx="2">
                  <c:v>8.5</c:v>
                </c:pt>
                <c:pt idx="3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D-404C-9FD3-0E85190FF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9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Sheet1!$A$21:$A$24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Sheet1!$C$21:$C$24</c:f>
              <c:numCache>
                <c:formatCode>0.0</c:formatCode>
                <c:ptCount val="4"/>
                <c:pt idx="0">
                  <c:v>-0.5</c:v>
                </c:pt>
                <c:pt idx="1">
                  <c:v>-1.6</c:v>
                </c:pt>
                <c:pt idx="2">
                  <c:v>-3.4</c:v>
                </c:pt>
                <c:pt idx="3">
                  <c:v>-5.3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9-4EA6-8977-088490A7D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30"/>
          <c:min val="-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Sheet1!$A$32:$A$35</c:f>
              <c:numCache>
                <c:formatCode>General</c:formatCode>
                <c:ptCount val="4"/>
                <c:pt idx="0">
                  <c:v>2025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Sheet1!$C$32:$C$35</c:f>
              <c:numCache>
                <c:formatCode>0.0</c:formatCode>
                <c:ptCount val="4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D-4C2C-8181-34AF6435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035695"/>
        <c:axId val="848023631"/>
      </c:areaChart>
      <c:catAx>
        <c:axId val="848035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8023631"/>
        <c:crosses val="autoZero"/>
        <c:auto val="1"/>
        <c:lblAlgn val="ctr"/>
        <c:lblOffset val="100"/>
        <c:noMultiLvlLbl val="0"/>
      </c:catAx>
      <c:valAx>
        <c:axId val="848023631"/>
        <c:scaling>
          <c:orientation val="minMax"/>
          <c:max val="5"/>
          <c:min val="-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crossAx val="848035695"/>
        <c:crosses val="autoZero"/>
        <c:crossBetween val="midCat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1545166</xdr:colOff>
      <xdr:row>48</xdr:row>
      <xdr:rowOff>123265</xdr:rowOff>
    </xdr:from>
    <xdr:to>
      <xdr:col>6</xdr:col>
      <xdr:colOff>1534582</xdr:colOff>
      <xdr:row>51</xdr:row>
      <xdr:rowOff>84668</xdr:rowOff>
    </xdr:to>
    <xdr:grpSp>
      <xdr:nvGrpSpPr>
        <xdr:cNvPr id="7" name="קבוצה 6">
          <a:extLst>
            <a:ext uri="{FF2B5EF4-FFF2-40B4-BE49-F238E27FC236}">
              <a16:creationId xmlns:a16="http://schemas.microsoft.com/office/drawing/2014/main" id="{D729BB66-D205-4F0A-801E-75840514A3B1}"/>
            </a:ext>
          </a:extLst>
        </xdr:cNvPr>
        <xdr:cNvGrpSpPr/>
      </xdr:nvGrpSpPr>
      <xdr:grpSpPr>
        <a:xfrm>
          <a:off x="11153206525" y="7498336"/>
          <a:ext cx="1581452" cy="505689"/>
          <a:chOff x="11276933251" y="1740961"/>
          <a:chExt cx="1566332" cy="799041"/>
        </a:xfrm>
      </xdr:grpSpPr>
      <xdr:sp macro="" textlink="">
        <xdr:nvSpPr>
          <xdr:cNvPr id="5" name="מלבן: פינות מעוגלות 4">
            <a:extLst>
              <a:ext uri="{FF2B5EF4-FFF2-40B4-BE49-F238E27FC236}">
                <a16:creationId xmlns:a16="http://schemas.microsoft.com/office/drawing/2014/main" id="{295B1610-B7A2-4F60-857C-05B4504D50C7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2" name="קבוצה 1">
            <a:extLst>
              <a:ext uri="{FF2B5EF4-FFF2-40B4-BE49-F238E27FC236}">
                <a16:creationId xmlns:a16="http://schemas.microsoft.com/office/drawing/2014/main" id="{2F3CE65B-B55E-416B-8D78-50E9678990B1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3" name="מחבר ישר 2">
              <a:extLst>
                <a:ext uri="{FF2B5EF4-FFF2-40B4-BE49-F238E27FC236}">
                  <a16:creationId xmlns:a16="http://schemas.microsoft.com/office/drawing/2014/main" id="{BF92F763-374C-4977-A85A-151C002A561C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4" name="תיבת טקסט 44">
              <a:extLst>
                <a:ext uri="{FF2B5EF4-FFF2-40B4-BE49-F238E27FC236}">
                  <a16:creationId xmlns:a16="http://schemas.microsoft.com/office/drawing/2014/main" id="{8A96B750-CC03-4423-9F3B-DF55BB1548BB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6" name="תיבת טקסט 5">
            <a:extLst>
              <a:ext uri="{FF2B5EF4-FFF2-40B4-BE49-F238E27FC236}">
                <a16:creationId xmlns:a16="http://schemas.microsoft.com/office/drawing/2014/main" id="{2F1351C5-1E31-4390-A9A9-B6B8648DE40C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t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קצב התקנת מתחדשות אינו מספק, לא התגלו מאגרי גז טבעי.</a:t>
            </a:r>
          </a:p>
        </xdr:txBody>
      </xdr:sp>
    </xdr:grpSp>
    <xdr:clientData/>
  </xdr:twoCellAnchor>
  <xdr:twoCellAnchor>
    <xdr:from>
      <xdr:col>6</xdr:col>
      <xdr:colOff>1545164</xdr:colOff>
      <xdr:row>52</xdr:row>
      <xdr:rowOff>450854</xdr:rowOff>
    </xdr:from>
    <xdr:to>
      <xdr:col>7</xdr:col>
      <xdr:colOff>1534580</xdr:colOff>
      <xdr:row>54</xdr:row>
      <xdr:rowOff>21170</xdr:rowOff>
    </xdr:to>
    <xdr:grpSp>
      <xdr:nvGrpSpPr>
        <xdr:cNvPr id="14" name="קבוצה 13">
          <a:extLst>
            <a:ext uri="{FF2B5EF4-FFF2-40B4-BE49-F238E27FC236}">
              <a16:creationId xmlns:a16="http://schemas.microsoft.com/office/drawing/2014/main" id="{60408EBC-218A-4F52-A67C-BE32372D55A5}"/>
            </a:ext>
          </a:extLst>
        </xdr:cNvPr>
        <xdr:cNvGrpSpPr/>
      </xdr:nvGrpSpPr>
      <xdr:grpSpPr>
        <a:xfrm>
          <a:off x="11151614491" y="9050568"/>
          <a:ext cx="1581452" cy="645281"/>
          <a:chOff x="11276933251" y="1740961"/>
          <a:chExt cx="1566332" cy="799041"/>
        </a:xfrm>
      </xdr:grpSpPr>
      <xdr:sp macro="" textlink="">
        <xdr:nvSpPr>
          <xdr:cNvPr id="15" name="מלבן: פינות מעוגלות 14">
            <a:extLst>
              <a:ext uri="{FF2B5EF4-FFF2-40B4-BE49-F238E27FC236}">
                <a16:creationId xmlns:a16="http://schemas.microsoft.com/office/drawing/2014/main" id="{B93866C5-74F9-439A-998A-4652E75543A9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16" name="קבוצה 15">
            <a:extLst>
              <a:ext uri="{FF2B5EF4-FFF2-40B4-BE49-F238E27FC236}">
                <a16:creationId xmlns:a16="http://schemas.microsoft.com/office/drawing/2014/main" id="{D488C498-3E13-44DE-8BB9-D79DD5152D7D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18" name="מחבר ישר 17">
              <a:extLst>
                <a:ext uri="{FF2B5EF4-FFF2-40B4-BE49-F238E27FC236}">
                  <a16:creationId xmlns:a16="http://schemas.microsoft.com/office/drawing/2014/main" id="{1CCD875C-A589-4DBC-B979-182FD6BF036B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19" name="תיבת טקסט 44">
              <a:extLst>
                <a:ext uri="{FF2B5EF4-FFF2-40B4-BE49-F238E27FC236}">
                  <a16:creationId xmlns:a16="http://schemas.microsoft.com/office/drawing/2014/main" id="{538C1D4F-408B-45B7-8271-5B928C39ECD7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17" name="תיבת טקסט 16">
            <a:extLst>
              <a:ext uri="{FF2B5EF4-FFF2-40B4-BE49-F238E27FC236}">
                <a16:creationId xmlns:a16="http://schemas.microsoft.com/office/drawing/2014/main" id="{491ED4FF-FD1D-48FC-BC97-62ED8FF5335C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ctr" anchorCtr="0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השימוש בגז טבעי נמשך, יהיה צורך בתפיסת פחמן.</a:t>
            </a:r>
          </a:p>
        </xdr:txBody>
      </xdr:sp>
    </xdr:grpSp>
    <xdr:clientData/>
  </xdr:twoCellAnchor>
  <xdr:twoCellAnchor>
    <xdr:from>
      <xdr:col>16</xdr:col>
      <xdr:colOff>1555751</xdr:colOff>
      <xdr:row>48</xdr:row>
      <xdr:rowOff>74583</xdr:rowOff>
    </xdr:from>
    <xdr:to>
      <xdr:col>17</xdr:col>
      <xdr:colOff>1545167</xdr:colOff>
      <xdr:row>51</xdr:row>
      <xdr:rowOff>35986</xdr:rowOff>
    </xdr:to>
    <xdr:grpSp>
      <xdr:nvGrpSpPr>
        <xdr:cNvPr id="26" name="קבוצה 25">
          <a:extLst>
            <a:ext uri="{FF2B5EF4-FFF2-40B4-BE49-F238E27FC236}">
              <a16:creationId xmlns:a16="http://schemas.microsoft.com/office/drawing/2014/main" id="{6F589936-1070-4915-81E8-FA184D6DBC10}"/>
            </a:ext>
          </a:extLst>
        </xdr:cNvPr>
        <xdr:cNvGrpSpPr/>
      </xdr:nvGrpSpPr>
      <xdr:grpSpPr>
        <a:xfrm>
          <a:off x="11135683547" y="7449654"/>
          <a:ext cx="1581452" cy="505689"/>
          <a:chOff x="11276933251" y="1740961"/>
          <a:chExt cx="1566332" cy="799041"/>
        </a:xfrm>
      </xdr:grpSpPr>
      <xdr:sp macro="" textlink="">
        <xdr:nvSpPr>
          <xdr:cNvPr id="27" name="מלבן: פינות מעוגלות 26">
            <a:extLst>
              <a:ext uri="{FF2B5EF4-FFF2-40B4-BE49-F238E27FC236}">
                <a16:creationId xmlns:a16="http://schemas.microsoft.com/office/drawing/2014/main" id="{8B9C70A1-FE7C-43CE-A0D9-1AC32B6E1579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28" name="קבוצה 27">
            <a:extLst>
              <a:ext uri="{FF2B5EF4-FFF2-40B4-BE49-F238E27FC236}">
                <a16:creationId xmlns:a16="http://schemas.microsoft.com/office/drawing/2014/main" id="{0541D299-10EA-40D2-87A6-32DDF96A411D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30" name="מחבר ישר 29">
              <a:extLst>
                <a:ext uri="{FF2B5EF4-FFF2-40B4-BE49-F238E27FC236}">
                  <a16:creationId xmlns:a16="http://schemas.microsoft.com/office/drawing/2014/main" id="{3D5DB050-AB2C-4E3E-A078-3B57822F6C2B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31" name="תיבת טקסט 44">
              <a:extLst>
                <a:ext uri="{FF2B5EF4-FFF2-40B4-BE49-F238E27FC236}">
                  <a16:creationId xmlns:a16="http://schemas.microsoft.com/office/drawing/2014/main" id="{B8B30D5C-2E0A-4678-87F6-600A34A528E4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29" name="תיבת טקסט 28">
            <a:extLst>
              <a:ext uri="{FF2B5EF4-FFF2-40B4-BE49-F238E27FC236}">
                <a16:creationId xmlns:a16="http://schemas.microsoft.com/office/drawing/2014/main" id="{E48FE91C-F0A5-47B1-986F-2475D0D380A6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ctr" anchorCtr="0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השימוש בגז טבעי נמשך, יש צורך בעתודות</a:t>
            </a:r>
            <a:r>
              <a:rPr lang="he-IL" sz="1050" baseline="0">
                <a:solidFill>
                  <a:schemeClr val="bg1"/>
                </a:solidFill>
              </a:rPr>
              <a:t> נוספות</a:t>
            </a:r>
            <a:r>
              <a:rPr lang="he-IL" sz="1050">
                <a:solidFill>
                  <a:schemeClr val="bg1"/>
                </a:solidFill>
              </a:rPr>
              <a:t>.</a:t>
            </a:r>
          </a:p>
        </xdr:txBody>
      </xdr:sp>
    </xdr:grpSp>
    <xdr:clientData/>
  </xdr:twoCellAnchor>
  <xdr:twoCellAnchor>
    <xdr:from>
      <xdr:col>16</xdr:col>
      <xdr:colOff>0</xdr:colOff>
      <xdr:row>48</xdr:row>
      <xdr:rowOff>74583</xdr:rowOff>
    </xdr:from>
    <xdr:to>
      <xdr:col>16</xdr:col>
      <xdr:colOff>1545167</xdr:colOff>
      <xdr:row>51</xdr:row>
      <xdr:rowOff>35986</xdr:rowOff>
    </xdr:to>
    <xdr:grpSp>
      <xdr:nvGrpSpPr>
        <xdr:cNvPr id="32" name="קבוצה 31">
          <a:extLst>
            <a:ext uri="{FF2B5EF4-FFF2-40B4-BE49-F238E27FC236}">
              <a16:creationId xmlns:a16="http://schemas.microsoft.com/office/drawing/2014/main" id="{EE81987D-9509-4ACC-9F0F-861D3349584C}"/>
            </a:ext>
          </a:extLst>
        </xdr:cNvPr>
        <xdr:cNvGrpSpPr/>
      </xdr:nvGrpSpPr>
      <xdr:grpSpPr>
        <a:xfrm>
          <a:off x="11137275583" y="7449654"/>
          <a:ext cx="1545167" cy="505689"/>
          <a:chOff x="11276933251" y="1740961"/>
          <a:chExt cx="1566332" cy="799041"/>
        </a:xfrm>
      </xdr:grpSpPr>
      <xdr:sp macro="" textlink="">
        <xdr:nvSpPr>
          <xdr:cNvPr id="33" name="מלבן: פינות מעוגלות 32">
            <a:extLst>
              <a:ext uri="{FF2B5EF4-FFF2-40B4-BE49-F238E27FC236}">
                <a16:creationId xmlns:a16="http://schemas.microsoft.com/office/drawing/2014/main" id="{F3230613-99B7-4B24-A52E-79E84CB7DE14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34" name="קבוצה 33">
            <a:extLst>
              <a:ext uri="{FF2B5EF4-FFF2-40B4-BE49-F238E27FC236}">
                <a16:creationId xmlns:a16="http://schemas.microsoft.com/office/drawing/2014/main" id="{A0E40368-F351-42EE-A856-BA73722F1ADD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36" name="מחבר ישר 35">
              <a:extLst>
                <a:ext uri="{FF2B5EF4-FFF2-40B4-BE49-F238E27FC236}">
                  <a16:creationId xmlns:a16="http://schemas.microsoft.com/office/drawing/2014/main" id="{633B2AD9-500A-4194-979F-39706FD9A128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37" name="תיבת טקסט 44">
              <a:extLst>
                <a:ext uri="{FF2B5EF4-FFF2-40B4-BE49-F238E27FC236}">
                  <a16:creationId xmlns:a16="http://schemas.microsoft.com/office/drawing/2014/main" id="{C2BAE44F-87AB-47F8-A559-D9020D096998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35" name="תיבת טקסט 34">
            <a:extLst>
              <a:ext uri="{FF2B5EF4-FFF2-40B4-BE49-F238E27FC236}">
                <a16:creationId xmlns:a16="http://schemas.microsoft.com/office/drawing/2014/main" id="{687373E2-BFBA-4EBC-8FEB-5B8D6A655A01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ctr" anchorCtr="0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השימוש בגז טבעי נמשך, יש צורך בעתודות</a:t>
            </a:r>
            <a:r>
              <a:rPr lang="he-IL" sz="1050" baseline="0">
                <a:solidFill>
                  <a:schemeClr val="bg1"/>
                </a:solidFill>
              </a:rPr>
              <a:t> נוספות</a:t>
            </a:r>
            <a:r>
              <a:rPr lang="he-IL" sz="1050">
                <a:solidFill>
                  <a:schemeClr val="bg1"/>
                </a:solidFill>
              </a:rPr>
              <a:t>.</a:t>
            </a:r>
          </a:p>
        </xdr:txBody>
      </xdr:sp>
    </xdr:grpSp>
    <xdr:clientData/>
  </xdr:twoCellAnchor>
  <xdr:twoCellAnchor>
    <xdr:from>
      <xdr:col>17</xdr:col>
      <xdr:colOff>1545168</xdr:colOff>
      <xdr:row>48</xdr:row>
      <xdr:rowOff>74583</xdr:rowOff>
    </xdr:from>
    <xdr:to>
      <xdr:col>18</xdr:col>
      <xdr:colOff>1534584</xdr:colOff>
      <xdr:row>51</xdr:row>
      <xdr:rowOff>35986</xdr:rowOff>
    </xdr:to>
    <xdr:grpSp>
      <xdr:nvGrpSpPr>
        <xdr:cNvPr id="44" name="קבוצה 43">
          <a:extLst>
            <a:ext uri="{FF2B5EF4-FFF2-40B4-BE49-F238E27FC236}">
              <a16:creationId xmlns:a16="http://schemas.microsoft.com/office/drawing/2014/main" id="{FA0C3C50-B213-4145-93FD-7AB05DB3CFB2}"/>
            </a:ext>
          </a:extLst>
        </xdr:cNvPr>
        <xdr:cNvGrpSpPr/>
      </xdr:nvGrpSpPr>
      <xdr:grpSpPr>
        <a:xfrm>
          <a:off x="11134102095" y="7449654"/>
          <a:ext cx="1581451" cy="505689"/>
          <a:chOff x="11276933251" y="1740961"/>
          <a:chExt cx="1566332" cy="799041"/>
        </a:xfrm>
      </xdr:grpSpPr>
      <xdr:sp macro="" textlink="">
        <xdr:nvSpPr>
          <xdr:cNvPr id="45" name="מלבן: פינות מעוגלות 44">
            <a:extLst>
              <a:ext uri="{FF2B5EF4-FFF2-40B4-BE49-F238E27FC236}">
                <a16:creationId xmlns:a16="http://schemas.microsoft.com/office/drawing/2014/main" id="{10EC9A8A-B024-4DEA-8ED4-99A2376F498B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46" name="קבוצה 45">
            <a:extLst>
              <a:ext uri="{FF2B5EF4-FFF2-40B4-BE49-F238E27FC236}">
                <a16:creationId xmlns:a16="http://schemas.microsoft.com/office/drawing/2014/main" id="{B35E1F2D-7480-438C-B47B-13B55F62547B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48" name="מחבר ישר 47">
              <a:extLst>
                <a:ext uri="{FF2B5EF4-FFF2-40B4-BE49-F238E27FC236}">
                  <a16:creationId xmlns:a16="http://schemas.microsoft.com/office/drawing/2014/main" id="{017BD0C6-BAAD-4DDF-B341-5F29CF28EBE1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49" name="תיבת טקסט 44">
              <a:extLst>
                <a:ext uri="{FF2B5EF4-FFF2-40B4-BE49-F238E27FC236}">
                  <a16:creationId xmlns:a16="http://schemas.microsoft.com/office/drawing/2014/main" id="{70012FB3-FB13-40C9-B08D-2899C33B8DC1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47" name="תיבת טקסט 46">
            <a:extLst>
              <a:ext uri="{FF2B5EF4-FFF2-40B4-BE49-F238E27FC236}">
                <a16:creationId xmlns:a16="http://schemas.microsoft.com/office/drawing/2014/main" id="{FE9FE6A4-33AD-432C-B60C-9F6D58C68988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ctr" anchorCtr="0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חשש כי הערוצים האחרים לא יביאו לביטחון אספקה.</a:t>
            </a:r>
          </a:p>
        </xdr:txBody>
      </xdr:sp>
    </xdr:grpSp>
    <xdr:clientData/>
  </xdr:twoCellAnchor>
  <xdr:twoCellAnchor>
    <xdr:from>
      <xdr:col>9</xdr:col>
      <xdr:colOff>0</xdr:colOff>
      <xdr:row>52</xdr:row>
      <xdr:rowOff>450854</xdr:rowOff>
    </xdr:from>
    <xdr:to>
      <xdr:col>9</xdr:col>
      <xdr:colOff>1576916</xdr:colOff>
      <xdr:row>54</xdr:row>
      <xdr:rowOff>21170</xdr:rowOff>
    </xdr:to>
    <xdr:grpSp>
      <xdr:nvGrpSpPr>
        <xdr:cNvPr id="38" name="קבוצה 37">
          <a:extLst>
            <a:ext uri="{FF2B5EF4-FFF2-40B4-BE49-F238E27FC236}">
              <a16:creationId xmlns:a16="http://schemas.microsoft.com/office/drawing/2014/main" id="{2253B781-38DA-4A8B-BE4B-A243E8CC8D16}"/>
            </a:ext>
          </a:extLst>
        </xdr:cNvPr>
        <xdr:cNvGrpSpPr/>
      </xdr:nvGrpSpPr>
      <xdr:grpSpPr>
        <a:xfrm>
          <a:off x="11148388084" y="9050568"/>
          <a:ext cx="1576916" cy="645281"/>
          <a:chOff x="11276933251" y="1740961"/>
          <a:chExt cx="1566332" cy="799041"/>
        </a:xfrm>
      </xdr:grpSpPr>
      <xdr:sp macro="" textlink="">
        <xdr:nvSpPr>
          <xdr:cNvPr id="39" name="מלבן: פינות מעוגלות 38">
            <a:extLst>
              <a:ext uri="{FF2B5EF4-FFF2-40B4-BE49-F238E27FC236}">
                <a16:creationId xmlns:a16="http://schemas.microsoft.com/office/drawing/2014/main" id="{41AEB7B9-7F26-4756-A44A-1E0BE769A68F}"/>
              </a:ext>
            </a:extLst>
          </xdr:cNvPr>
          <xdr:cNvSpPr/>
        </xdr:nvSpPr>
        <xdr:spPr>
          <a:xfrm>
            <a:off x="11276933251" y="1746250"/>
            <a:ext cx="1502833" cy="79375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r" rtl="1"/>
            <a:endParaRPr lang="he-IL" sz="1100"/>
          </a:p>
        </xdr:txBody>
      </xdr:sp>
      <xdr:grpSp>
        <xdr:nvGrpSpPr>
          <xdr:cNvPr id="40" name="קבוצה 39">
            <a:extLst>
              <a:ext uri="{FF2B5EF4-FFF2-40B4-BE49-F238E27FC236}">
                <a16:creationId xmlns:a16="http://schemas.microsoft.com/office/drawing/2014/main" id="{B617D022-4112-4E77-AC27-75DA72C432E7}"/>
              </a:ext>
            </a:extLst>
          </xdr:cNvPr>
          <xdr:cNvGrpSpPr/>
        </xdr:nvGrpSpPr>
        <xdr:grpSpPr>
          <a:xfrm>
            <a:off x="11277970734" y="1841500"/>
            <a:ext cx="528849" cy="485831"/>
            <a:chOff x="2987155" y="3106710"/>
            <a:chExt cx="528849" cy="485831"/>
          </a:xfrm>
        </xdr:grpSpPr>
        <xdr:cxnSp macro="">
          <xdr:nvCxnSpPr>
            <xdr:cNvPr id="42" name="מחבר ישר 41">
              <a:extLst>
                <a:ext uri="{FF2B5EF4-FFF2-40B4-BE49-F238E27FC236}">
                  <a16:creationId xmlns:a16="http://schemas.microsoft.com/office/drawing/2014/main" id="{4A1C59B8-5E6D-4543-B174-AACE8D449EA2}"/>
                </a:ext>
              </a:extLst>
            </xdr:cNvPr>
            <xdr:cNvCxnSpPr>
              <a:cxnSpLocks/>
            </xdr:cNvCxnSpPr>
          </xdr:nvCxnSpPr>
          <xdr:spPr>
            <a:xfrm flipH="1">
              <a:off x="3251580" y="3412541"/>
              <a:ext cx="1" cy="180000"/>
            </a:xfrm>
            <a:prstGeom prst="line">
              <a:avLst/>
            </a:prstGeom>
            <a:ln>
              <a:solidFill>
                <a:schemeClr val="accent1">
                  <a:lumMod val="20000"/>
                  <a:lumOff val="80000"/>
                </a:schemeClr>
              </a:solidFill>
            </a:ln>
          </xdr:spPr>
          <xdr:style>
            <a:lnRef idx="2">
              <a:schemeClr val="accent5"/>
            </a:lnRef>
            <a:fillRef idx="0">
              <a:schemeClr val="accent5"/>
            </a:fillRef>
            <a:effectRef idx="1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43" name="תיבת טקסט 44">
              <a:extLst>
                <a:ext uri="{FF2B5EF4-FFF2-40B4-BE49-F238E27FC236}">
                  <a16:creationId xmlns:a16="http://schemas.microsoft.com/office/drawing/2014/main" id="{1F172264-D1AE-4486-A778-2B76E4587AEC}"/>
                </a:ext>
              </a:extLst>
            </xdr:cNvPr>
            <xdr:cNvSpPr txBox="1"/>
          </xdr:nvSpPr>
          <xdr:spPr>
            <a:xfrm>
              <a:off x="2987155" y="3106710"/>
              <a:ext cx="528849" cy="36933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he-IL"/>
              </a:defPPr>
              <a:lvl1pPr marL="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r" defTabSz="914400" rtl="1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rtl="0"/>
              <a:r>
                <a:rPr lang="he-IL"/>
                <a:t>⚠️</a:t>
              </a:r>
            </a:p>
          </xdr:txBody>
        </xdr:sp>
      </xdr:grpSp>
      <xdr:sp macro="" textlink="">
        <xdr:nvSpPr>
          <xdr:cNvPr id="41" name="תיבת טקסט 40">
            <a:extLst>
              <a:ext uri="{FF2B5EF4-FFF2-40B4-BE49-F238E27FC236}">
                <a16:creationId xmlns:a16="http://schemas.microsoft.com/office/drawing/2014/main" id="{054582F3-9B6C-4F2E-B257-5DD0D9510670}"/>
              </a:ext>
            </a:extLst>
          </xdr:cNvPr>
          <xdr:cNvSpPr txBox="1"/>
        </xdr:nvSpPr>
        <xdr:spPr>
          <a:xfrm>
            <a:off x="11277017917" y="1740961"/>
            <a:ext cx="1026583" cy="79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1" anchor="ctr" anchorCtr="0"/>
          <a:lstStyle/>
          <a:p>
            <a:pPr algn="r" rtl="1"/>
            <a:r>
              <a:rPr lang="he-IL" sz="1050">
                <a:solidFill>
                  <a:schemeClr val="bg1"/>
                </a:solidFill>
              </a:rPr>
              <a:t>השימוש בגז טבעי נמשך.</a:t>
            </a:r>
          </a:p>
        </xdr:txBody>
      </xdr:sp>
    </xdr:grpSp>
    <xdr:clientData/>
  </xdr:twoCellAnchor>
  <xdr:twoCellAnchor editAs="oneCell">
    <xdr:from>
      <xdr:col>3</xdr:col>
      <xdr:colOff>1451383</xdr:colOff>
      <xdr:row>12</xdr:row>
      <xdr:rowOff>119062</xdr:rowOff>
    </xdr:from>
    <xdr:to>
      <xdr:col>5</xdr:col>
      <xdr:colOff>64838</xdr:colOff>
      <xdr:row>19</xdr:row>
      <xdr:rowOff>149239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E8B9D07-E2C3-4869-9749-C0E3A9922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149135</xdr:colOff>
      <xdr:row>12</xdr:row>
      <xdr:rowOff>119062</xdr:rowOff>
    </xdr:from>
    <xdr:to>
      <xdr:col>3</xdr:col>
      <xdr:colOff>61453</xdr:colOff>
      <xdr:row>19</xdr:row>
      <xdr:rowOff>149239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1E983E37-7595-4131-A568-61F6504BC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1453074</xdr:colOff>
      <xdr:row>12</xdr:row>
      <xdr:rowOff>119062</xdr:rowOff>
    </xdr:from>
    <xdr:to>
      <xdr:col>6</xdr:col>
      <xdr:colOff>66529</xdr:colOff>
      <xdr:row>19</xdr:row>
      <xdr:rowOff>149239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34F6229-E06C-42B9-870E-655CF72DD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1454766</xdr:colOff>
      <xdr:row>12</xdr:row>
      <xdr:rowOff>119062</xdr:rowOff>
    </xdr:from>
    <xdr:to>
      <xdr:col>7</xdr:col>
      <xdr:colOff>68220</xdr:colOff>
      <xdr:row>19</xdr:row>
      <xdr:rowOff>149239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BC242332-4844-4D41-A949-2A2FCA262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1456457</xdr:colOff>
      <xdr:row>12</xdr:row>
      <xdr:rowOff>119062</xdr:rowOff>
    </xdr:from>
    <xdr:to>
      <xdr:col>8</xdr:col>
      <xdr:colOff>69911</xdr:colOff>
      <xdr:row>19</xdr:row>
      <xdr:rowOff>149239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E2250C37-8704-4242-96A8-BDFAAAE2C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1458148</xdr:colOff>
      <xdr:row>12</xdr:row>
      <xdr:rowOff>119062</xdr:rowOff>
    </xdr:from>
    <xdr:to>
      <xdr:col>9</xdr:col>
      <xdr:colOff>71603</xdr:colOff>
      <xdr:row>19</xdr:row>
      <xdr:rowOff>149239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7702DD8-CBF8-4A3F-9EFC-750CB30DF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1459839</xdr:colOff>
      <xdr:row>12</xdr:row>
      <xdr:rowOff>119062</xdr:rowOff>
    </xdr:from>
    <xdr:to>
      <xdr:col>10</xdr:col>
      <xdr:colOff>73294</xdr:colOff>
      <xdr:row>19</xdr:row>
      <xdr:rowOff>149239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D50D3F26-C2B9-45DD-8426-000007C4F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1461531</xdr:colOff>
      <xdr:row>12</xdr:row>
      <xdr:rowOff>119062</xdr:rowOff>
    </xdr:from>
    <xdr:to>
      <xdr:col>11</xdr:col>
      <xdr:colOff>74985</xdr:colOff>
      <xdr:row>19</xdr:row>
      <xdr:rowOff>149239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A6E8C1AF-245C-4CE8-8761-B5CCCEF8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1463222</xdr:colOff>
      <xdr:row>12</xdr:row>
      <xdr:rowOff>119062</xdr:rowOff>
    </xdr:from>
    <xdr:to>
      <xdr:col>12</xdr:col>
      <xdr:colOff>76677</xdr:colOff>
      <xdr:row>19</xdr:row>
      <xdr:rowOff>149239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59C04E82-E4C4-4EA0-BD8C-4BD3C9255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1464913</xdr:colOff>
      <xdr:row>12</xdr:row>
      <xdr:rowOff>119062</xdr:rowOff>
    </xdr:from>
    <xdr:to>
      <xdr:col>13</xdr:col>
      <xdr:colOff>78368</xdr:colOff>
      <xdr:row>19</xdr:row>
      <xdr:rowOff>149239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1A17A7D-3998-4466-A86C-7042BAEC7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1471678</xdr:colOff>
      <xdr:row>12</xdr:row>
      <xdr:rowOff>119062</xdr:rowOff>
    </xdr:from>
    <xdr:to>
      <xdr:col>17</xdr:col>
      <xdr:colOff>85133</xdr:colOff>
      <xdr:row>19</xdr:row>
      <xdr:rowOff>149239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0DF7454-82E3-41FA-A826-E745EC236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12</xdr:col>
      <xdr:colOff>1466605</xdr:colOff>
      <xdr:row>12</xdr:row>
      <xdr:rowOff>119062</xdr:rowOff>
    </xdr:from>
    <xdr:to>
      <xdr:col>14</xdr:col>
      <xdr:colOff>80059</xdr:colOff>
      <xdr:row>19</xdr:row>
      <xdr:rowOff>149239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9A471A5-505E-45E9-9170-716B3CD9E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13</xdr:col>
      <xdr:colOff>1468296</xdr:colOff>
      <xdr:row>12</xdr:row>
      <xdr:rowOff>119062</xdr:rowOff>
    </xdr:from>
    <xdr:to>
      <xdr:col>15</xdr:col>
      <xdr:colOff>81750</xdr:colOff>
      <xdr:row>19</xdr:row>
      <xdr:rowOff>149239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90653354-1E06-4646-95D2-15C209B8E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14</xdr:col>
      <xdr:colOff>1469987</xdr:colOff>
      <xdr:row>12</xdr:row>
      <xdr:rowOff>119062</xdr:rowOff>
    </xdr:from>
    <xdr:to>
      <xdr:col>16</xdr:col>
      <xdr:colOff>83442</xdr:colOff>
      <xdr:row>19</xdr:row>
      <xdr:rowOff>149239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40BC9A4B-0AA4-4D81-8472-C2B4665AF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16</xdr:col>
      <xdr:colOff>1473370</xdr:colOff>
      <xdr:row>12</xdr:row>
      <xdr:rowOff>119062</xdr:rowOff>
    </xdr:from>
    <xdr:to>
      <xdr:col>18</xdr:col>
      <xdr:colOff>86824</xdr:colOff>
      <xdr:row>19</xdr:row>
      <xdr:rowOff>149239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A90CE3A2-7EE2-4101-87BC-79B122D18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17</xdr:col>
      <xdr:colOff>1475061</xdr:colOff>
      <xdr:row>12</xdr:row>
      <xdr:rowOff>119062</xdr:rowOff>
    </xdr:from>
    <xdr:to>
      <xdr:col>19</xdr:col>
      <xdr:colOff>88515</xdr:colOff>
      <xdr:row>19</xdr:row>
      <xdr:rowOff>149239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9F06C797-5C6B-43CD-BB07-BC5D26633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3</xdr:col>
      <xdr:colOff>1451514</xdr:colOff>
      <xdr:row>23</xdr:row>
      <xdr:rowOff>122900</xdr:rowOff>
    </xdr:from>
    <xdr:to>
      <xdr:col>5</xdr:col>
      <xdr:colOff>64969</xdr:colOff>
      <xdr:row>30</xdr:row>
      <xdr:rowOff>149239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D2082EEE-194E-4CA8-BD3C-52CB80596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149135</xdr:colOff>
      <xdr:row>23</xdr:row>
      <xdr:rowOff>122900</xdr:rowOff>
    </xdr:from>
    <xdr:to>
      <xdr:col>3</xdr:col>
      <xdr:colOff>61453</xdr:colOff>
      <xdr:row>30</xdr:row>
      <xdr:rowOff>149239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F6F0AE76-D55A-4C53-8C9E-C6252DFC6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4</xdr:col>
      <xdr:colOff>1453273</xdr:colOff>
      <xdr:row>23</xdr:row>
      <xdr:rowOff>122900</xdr:rowOff>
    </xdr:from>
    <xdr:to>
      <xdr:col>6</xdr:col>
      <xdr:colOff>66728</xdr:colOff>
      <xdr:row>30</xdr:row>
      <xdr:rowOff>149239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7066D326-49C0-46E4-81C3-33FFC9245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5</xdr:col>
      <xdr:colOff>1455033</xdr:colOff>
      <xdr:row>23</xdr:row>
      <xdr:rowOff>122900</xdr:rowOff>
    </xdr:from>
    <xdr:to>
      <xdr:col>7</xdr:col>
      <xdr:colOff>68487</xdr:colOff>
      <xdr:row>30</xdr:row>
      <xdr:rowOff>149239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A8D12885-4CCA-48F8-808A-9DDECBBDE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6</xdr:col>
      <xdr:colOff>1456792</xdr:colOff>
      <xdr:row>23</xdr:row>
      <xdr:rowOff>122900</xdr:rowOff>
    </xdr:from>
    <xdr:to>
      <xdr:col>8</xdr:col>
      <xdr:colOff>70246</xdr:colOff>
      <xdr:row>30</xdr:row>
      <xdr:rowOff>149239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62C0F45F-57CA-475C-B0B7-251EDF803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7</xdr:col>
      <xdr:colOff>1458551</xdr:colOff>
      <xdr:row>23</xdr:row>
      <xdr:rowOff>122900</xdr:rowOff>
    </xdr:from>
    <xdr:to>
      <xdr:col>9</xdr:col>
      <xdr:colOff>72006</xdr:colOff>
      <xdr:row>30</xdr:row>
      <xdr:rowOff>149239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98823817-3634-4B03-9043-CC9D09768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8</xdr:col>
      <xdr:colOff>1460310</xdr:colOff>
      <xdr:row>23</xdr:row>
      <xdr:rowOff>122900</xdr:rowOff>
    </xdr:from>
    <xdr:to>
      <xdr:col>10</xdr:col>
      <xdr:colOff>73765</xdr:colOff>
      <xdr:row>30</xdr:row>
      <xdr:rowOff>149239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4F92EA0E-480A-4856-8B95-7CF68DF62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9</xdr:col>
      <xdr:colOff>1462070</xdr:colOff>
      <xdr:row>23</xdr:row>
      <xdr:rowOff>122900</xdr:rowOff>
    </xdr:from>
    <xdr:to>
      <xdr:col>11</xdr:col>
      <xdr:colOff>75524</xdr:colOff>
      <xdr:row>30</xdr:row>
      <xdr:rowOff>149239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FB0BF521-4553-48A2-B7F3-B550E38F9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10</xdr:col>
      <xdr:colOff>1463829</xdr:colOff>
      <xdr:row>23</xdr:row>
      <xdr:rowOff>122900</xdr:rowOff>
    </xdr:from>
    <xdr:to>
      <xdr:col>12</xdr:col>
      <xdr:colOff>77284</xdr:colOff>
      <xdr:row>30</xdr:row>
      <xdr:rowOff>149239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13E9BCE7-334D-4082-9FCC-0EDB19874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11</xdr:col>
      <xdr:colOff>1465588</xdr:colOff>
      <xdr:row>23</xdr:row>
      <xdr:rowOff>122900</xdr:rowOff>
    </xdr:from>
    <xdr:to>
      <xdr:col>13</xdr:col>
      <xdr:colOff>79043</xdr:colOff>
      <xdr:row>30</xdr:row>
      <xdr:rowOff>149239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D0EE7477-2FCE-4C2B-9F95-D639ACDD1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15</xdr:col>
      <xdr:colOff>1472625</xdr:colOff>
      <xdr:row>23</xdr:row>
      <xdr:rowOff>122900</xdr:rowOff>
    </xdr:from>
    <xdr:to>
      <xdr:col>17</xdr:col>
      <xdr:colOff>86080</xdr:colOff>
      <xdr:row>30</xdr:row>
      <xdr:rowOff>149239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67803CC6-1413-4FA3-A96C-C64704B04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12</xdr:col>
      <xdr:colOff>1467348</xdr:colOff>
      <xdr:row>23</xdr:row>
      <xdr:rowOff>122900</xdr:rowOff>
    </xdr:from>
    <xdr:to>
      <xdr:col>14</xdr:col>
      <xdr:colOff>80802</xdr:colOff>
      <xdr:row>30</xdr:row>
      <xdr:rowOff>149239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6DFB8EF7-659B-4D48-9330-BB9BC6BC7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13</xdr:col>
      <xdr:colOff>1469107</xdr:colOff>
      <xdr:row>23</xdr:row>
      <xdr:rowOff>122900</xdr:rowOff>
    </xdr:from>
    <xdr:to>
      <xdr:col>15</xdr:col>
      <xdr:colOff>82561</xdr:colOff>
      <xdr:row>30</xdr:row>
      <xdr:rowOff>149239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5F866307-83C7-449F-9B31-5E4CD1AF6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14</xdr:col>
      <xdr:colOff>1470866</xdr:colOff>
      <xdr:row>23</xdr:row>
      <xdr:rowOff>122900</xdr:rowOff>
    </xdr:from>
    <xdr:to>
      <xdr:col>16</xdr:col>
      <xdr:colOff>84321</xdr:colOff>
      <xdr:row>30</xdr:row>
      <xdr:rowOff>149239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C8F846F-3B8F-4845-BBB2-C7C61BA7F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16</xdr:col>
      <xdr:colOff>1474385</xdr:colOff>
      <xdr:row>23</xdr:row>
      <xdr:rowOff>122900</xdr:rowOff>
    </xdr:from>
    <xdr:to>
      <xdr:col>18</xdr:col>
      <xdr:colOff>87839</xdr:colOff>
      <xdr:row>30</xdr:row>
      <xdr:rowOff>149239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CA0FC151-527E-43DF-9C53-0D19F6707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17</xdr:col>
      <xdr:colOff>1476144</xdr:colOff>
      <xdr:row>23</xdr:row>
      <xdr:rowOff>122900</xdr:rowOff>
    </xdr:from>
    <xdr:to>
      <xdr:col>19</xdr:col>
      <xdr:colOff>89598</xdr:colOff>
      <xdr:row>30</xdr:row>
      <xdr:rowOff>149239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4BD3124A-0BD4-49AF-972E-3CD3C8331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oneCellAnchor>
    <xdr:from>
      <xdr:col>3</xdr:col>
      <xdr:colOff>1460799</xdr:colOff>
      <xdr:row>34</xdr:row>
      <xdr:rowOff>130960</xdr:rowOff>
    </xdr:from>
    <xdr:ext cx="1800000" cy="631634"/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0D756E09-39E1-4F3D-996B-219F3CB50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1</xdr:col>
      <xdr:colOff>160318</xdr:colOff>
      <xdr:row>34</xdr:row>
      <xdr:rowOff>130960</xdr:rowOff>
    </xdr:from>
    <xdr:ext cx="1800000" cy="631634"/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35E7D137-7EB5-4B4F-B7F7-3D7006637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</xdr:col>
      <xdr:colOff>1461611</xdr:colOff>
      <xdr:row>34</xdr:row>
      <xdr:rowOff>130960</xdr:rowOff>
    </xdr:from>
    <xdr:ext cx="1800000" cy="631634"/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DB8272D4-16C9-498D-B502-FC7AD5B1A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5</xdr:col>
      <xdr:colOff>1462424</xdr:colOff>
      <xdr:row>34</xdr:row>
      <xdr:rowOff>130960</xdr:rowOff>
    </xdr:from>
    <xdr:ext cx="1800000" cy="631634"/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38FFCE05-976E-44CF-A8C4-3EB7350FC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6</xdr:col>
      <xdr:colOff>1463236</xdr:colOff>
      <xdr:row>34</xdr:row>
      <xdr:rowOff>130960</xdr:rowOff>
    </xdr:from>
    <xdr:ext cx="1800000" cy="631634"/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6EF1F1D6-0FDB-435E-9AA0-650697B79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7</xdr:col>
      <xdr:colOff>1464048</xdr:colOff>
      <xdr:row>34</xdr:row>
      <xdr:rowOff>130960</xdr:rowOff>
    </xdr:from>
    <xdr:ext cx="1800000" cy="631634"/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9A270F12-51B8-469E-832C-69B92B8D1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8</xdr:col>
      <xdr:colOff>1464860</xdr:colOff>
      <xdr:row>34</xdr:row>
      <xdr:rowOff>130960</xdr:rowOff>
    </xdr:from>
    <xdr:ext cx="1800000" cy="631634"/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23D37F4C-903C-47C3-9EB9-8D686AC10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9</xdr:col>
      <xdr:colOff>1465673</xdr:colOff>
      <xdr:row>34</xdr:row>
      <xdr:rowOff>130960</xdr:rowOff>
    </xdr:from>
    <xdr:ext cx="1800000" cy="631634"/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EF1304F5-1711-4F0B-9A33-E9415E27F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10</xdr:col>
      <xdr:colOff>1466485</xdr:colOff>
      <xdr:row>34</xdr:row>
      <xdr:rowOff>130960</xdr:rowOff>
    </xdr:from>
    <xdr:ext cx="1800000" cy="631634"/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5F4A70C4-5D4C-4625-8C84-8B2E562DD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11</xdr:col>
      <xdr:colOff>1467297</xdr:colOff>
      <xdr:row>34</xdr:row>
      <xdr:rowOff>130960</xdr:rowOff>
    </xdr:from>
    <xdr:ext cx="1800000" cy="631634"/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2444E41A-9D3D-41C7-844D-2D3039C61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15</xdr:col>
      <xdr:colOff>1470546</xdr:colOff>
      <xdr:row>34</xdr:row>
      <xdr:rowOff>130960</xdr:rowOff>
    </xdr:from>
    <xdr:ext cx="1800000" cy="631634"/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37C5F51B-4467-4978-AFC2-81D632108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12</xdr:col>
      <xdr:colOff>1468110</xdr:colOff>
      <xdr:row>34</xdr:row>
      <xdr:rowOff>130960</xdr:rowOff>
    </xdr:from>
    <xdr:ext cx="1800000" cy="631634"/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AED3B932-45B9-4C63-A342-11EA1D2D1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13</xdr:col>
      <xdr:colOff>1468922</xdr:colOff>
      <xdr:row>34</xdr:row>
      <xdr:rowOff>130960</xdr:rowOff>
    </xdr:from>
    <xdr:ext cx="1800000" cy="631634"/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4C35219C-000A-41F5-9C6F-DE9768263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14</xdr:col>
      <xdr:colOff>1469734</xdr:colOff>
      <xdr:row>34</xdr:row>
      <xdr:rowOff>130960</xdr:rowOff>
    </xdr:from>
    <xdr:ext cx="1800000" cy="631634"/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501CEA2C-C24A-4ACB-B5DD-D15CA5520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16</xdr:col>
      <xdr:colOff>1471359</xdr:colOff>
      <xdr:row>34</xdr:row>
      <xdr:rowOff>130960</xdr:rowOff>
    </xdr:from>
    <xdr:ext cx="1800000" cy="631634"/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377F375F-29F9-40B4-907C-76E69414D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17</xdr:col>
      <xdr:colOff>1472171</xdr:colOff>
      <xdr:row>34</xdr:row>
      <xdr:rowOff>130960</xdr:rowOff>
    </xdr:from>
    <xdr:ext cx="1800000" cy="631634"/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E4A69B0F-D6BF-4418-8EA5-429CA0AFF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2</xdr:col>
      <xdr:colOff>1449692</xdr:colOff>
      <xdr:row>12</xdr:row>
      <xdr:rowOff>119062</xdr:rowOff>
    </xdr:from>
    <xdr:ext cx="1800000" cy="625489"/>
    <xdr:graphicFrame macro="">
      <xdr:nvGraphicFramePr>
        <xdr:cNvPr id="99" name="Chart 50">
          <a:extLst>
            <a:ext uri="{FF2B5EF4-FFF2-40B4-BE49-F238E27FC236}">
              <a16:creationId xmlns:a16="http://schemas.microsoft.com/office/drawing/2014/main" id="{B4B982F3-7F54-4BF4-9191-FBCC66EDE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2</xdr:col>
      <xdr:colOff>1449755</xdr:colOff>
      <xdr:row>23</xdr:row>
      <xdr:rowOff>131559</xdr:rowOff>
    </xdr:from>
    <xdr:ext cx="1800000" cy="625489"/>
    <xdr:graphicFrame macro="">
      <xdr:nvGraphicFramePr>
        <xdr:cNvPr id="100" name="Chart 67">
          <a:extLst>
            <a:ext uri="{FF2B5EF4-FFF2-40B4-BE49-F238E27FC236}">
              <a16:creationId xmlns:a16="http://schemas.microsoft.com/office/drawing/2014/main" id="{28049C5C-2DFA-4FB1-B027-642C8CDE8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2</xdr:col>
      <xdr:colOff>1459987</xdr:colOff>
      <xdr:row>34</xdr:row>
      <xdr:rowOff>130960</xdr:rowOff>
    </xdr:from>
    <xdr:ext cx="1800000" cy="631634"/>
    <xdr:graphicFrame macro="">
      <xdr:nvGraphicFramePr>
        <xdr:cNvPr id="101" name="Chart 83">
          <a:extLst>
            <a:ext uri="{FF2B5EF4-FFF2-40B4-BE49-F238E27FC236}">
              <a16:creationId xmlns:a16="http://schemas.microsoft.com/office/drawing/2014/main" id="{360D6DF0-C22E-471C-B618-445C1B37B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rightToLeft="1" tabSelected="1" zoomScale="70" zoomScaleNormal="7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52" sqref="A52:A60"/>
    </sheetView>
  </sheetViews>
  <sheetFormatPr defaultRowHeight="14.25" outlineLevelRow="1" x14ac:dyDescent="0.2"/>
  <cols>
    <col min="1" max="1" width="11.25" style="26" bestFit="1" customWidth="1"/>
    <col min="2" max="2" width="3.75" style="26" customWidth="1"/>
    <col min="3" max="19" width="20.875" style="1" customWidth="1"/>
  </cols>
  <sheetData>
    <row r="1" spans="1:19" ht="16.5" thickBot="1" x14ac:dyDescent="0.25">
      <c r="A1" s="23" t="s">
        <v>239</v>
      </c>
      <c r="B1" s="23"/>
      <c r="C1" s="106" t="s">
        <v>235</v>
      </c>
      <c r="D1" s="107"/>
      <c r="E1" s="13" t="s">
        <v>232</v>
      </c>
      <c r="F1" s="16" t="s">
        <v>233</v>
      </c>
      <c r="G1" s="90" t="s">
        <v>234</v>
      </c>
      <c r="H1" s="97"/>
      <c r="I1" s="97"/>
      <c r="J1" s="91"/>
      <c r="K1" s="14" t="s">
        <v>242</v>
      </c>
      <c r="L1" s="16" t="s">
        <v>249</v>
      </c>
      <c r="M1" s="98" t="s">
        <v>236</v>
      </c>
      <c r="N1" s="99"/>
      <c r="O1" s="100"/>
      <c r="P1" s="15" t="s">
        <v>237</v>
      </c>
      <c r="Q1" s="90" t="s">
        <v>234</v>
      </c>
      <c r="R1" s="91"/>
      <c r="S1" s="11" t="s">
        <v>238</v>
      </c>
    </row>
    <row r="2" spans="1:19" ht="54.75" thickBot="1" x14ac:dyDescent="0.25">
      <c r="A2" s="23" t="s">
        <v>240</v>
      </c>
      <c r="B2" s="50"/>
      <c r="C2" s="22" t="s">
        <v>200</v>
      </c>
      <c r="D2" s="22" t="s">
        <v>274</v>
      </c>
      <c r="E2" s="17" t="s">
        <v>0</v>
      </c>
      <c r="F2" s="65" t="s">
        <v>116</v>
      </c>
      <c r="G2" s="19" t="s">
        <v>72</v>
      </c>
      <c r="H2" s="68" t="s">
        <v>194</v>
      </c>
      <c r="I2" s="19" t="s">
        <v>71</v>
      </c>
      <c r="J2" s="19" t="s">
        <v>213</v>
      </c>
      <c r="K2" s="22" t="s">
        <v>241</v>
      </c>
      <c r="L2" s="18" t="s">
        <v>248</v>
      </c>
      <c r="M2" s="20" t="s">
        <v>2</v>
      </c>
      <c r="N2" s="69" t="s">
        <v>66</v>
      </c>
      <c r="O2" s="20" t="s">
        <v>1</v>
      </c>
      <c r="P2" s="21" t="s">
        <v>104</v>
      </c>
      <c r="Q2" s="19" t="s">
        <v>201</v>
      </c>
      <c r="R2" s="19" t="s">
        <v>202</v>
      </c>
      <c r="S2" s="3" t="s">
        <v>73</v>
      </c>
    </row>
    <row r="3" spans="1:19" ht="16.5" thickBot="1" x14ac:dyDescent="0.25">
      <c r="A3" s="23" t="s">
        <v>64</v>
      </c>
      <c r="B3" s="23"/>
      <c r="C3" s="11" t="s">
        <v>206</v>
      </c>
      <c r="D3" s="59"/>
      <c r="E3" s="11" t="s">
        <v>65</v>
      </c>
      <c r="F3" s="66" t="s">
        <v>67</v>
      </c>
      <c r="G3" s="64" t="s">
        <v>68</v>
      </c>
      <c r="H3" s="66" t="s">
        <v>68</v>
      </c>
      <c r="I3" s="64" t="s">
        <v>68</v>
      </c>
      <c r="J3" s="59" t="s">
        <v>68</v>
      </c>
      <c r="K3" s="11" t="s">
        <v>243</v>
      </c>
      <c r="L3" s="59"/>
      <c r="M3" s="11" t="s">
        <v>68</v>
      </c>
      <c r="N3" s="66" t="s">
        <v>67</v>
      </c>
      <c r="O3" s="64" t="s">
        <v>205</v>
      </c>
      <c r="P3" s="59" t="s">
        <v>67</v>
      </c>
      <c r="Q3" s="11" t="s">
        <v>204</v>
      </c>
      <c r="R3" s="59" t="s">
        <v>203</v>
      </c>
      <c r="S3" s="11" t="s">
        <v>205</v>
      </c>
    </row>
    <row r="4" spans="1:19" ht="15" hidden="1" outlineLevel="1" x14ac:dyDescent="0.2">
      <c r="A4" s="37" t="s">
        <v>250</v>
      </c>
      <c r="B4" s="37"/>
      <c r="C4" s="38">
        <v>5</v>
      </c>
      <c r="D4" s="60"/>
      <c r="E4" s="57">
        <v>5</v>
      </c>
      <c r="F4" s="67">
        <v>2</v>
      </c>
      <c r="G4" s="57">
        <v>2</v>
      </c>
      <c r="H4" s="67">
        <v>4</v>
      </c>
      <c r="I4" s="57">
        <v>2</v>
      </c>
      <c r="J4" s="60">
        <v>4</v>
      </c>
      <c r="K4" s="57"/>
      <c r="L4" s="60">
        <v>5</v>
      </c>
      <c r="M4" s="57">
        <v>5</v>
      </c>
      <c r="N4" s="67">
        <v>3</v>
      </c>
      <c r="O4" s="57">
        <v>4</v>
      </c>
      <c r="P4" s="60">
        <v>2</v>
      </c>
      <c r="Q4" s="57">
        <v>5</v>
      </c>
      <c r="R4" s="60">
        <v>5</v>
      </c>
      <c r="S4" s="57">
        <v>2</v>
      </c>
    </row>
    <row r="5" spans="1:19" ht="15" hidden="1" outlineLevel="1" x14ac:dyDescent="0.2">
      <c r="A5" s="39" t="s">
        <v>251</v>
      </c>
      <c r="B5" s="39"/>
      <c r="C5" s="40">
        <v>5</v>
      </c>
      <c r="D5" s="61"/>
      <c r="E5" s="58">
        <v>5</v>
      </c>
      <c r="F5" s="61">
        <v>4</v>
      </c>
      <c r="G5" s="58">
        <v>4</v>
      </c>
      <c r="H5" s="61">
        <v>3</v>
      </c>
      <c r="I5" s="58">
        <v>4</v>
      </c>
      <c r="J5" s="61">
        <v>2</v>
      </c>
      <c r="K5" s="58"/>
      <c r="L5" s="61">
        <v>5</v>
      </c>
      <c r="M5" s="58">
        <v>4</v>
      </c>
      <c r="N5" s="61">
        <v>5</v>
      </c>
      <c r="O5" s="58">
        <v>5</v>
      </c>
      <c r="P5" s="61">
        <v>4</v>
      </c>
      <c r="Q5" s="58">
        <v>3</v>
      </c>
      <c r="R5" s="61">
        <v>3</v>
      </c>
      <c r="S5" s="58">
        <v>4</v>
      </c>
    </row>
    <row r="6" spans="1:19" ht="15" hidden="1" outlineLevel="1" x14ac:dyDescent="0.2">
      <c r="A6" s="39" t="s">
        <v>252</v>
      </c>
      <c r="B6" s="39"/>
      <c r="C6" s="40">
        <v>1</v>
      </c>
      <c r="D6" s="61"/>
      <c r="E6" s="58">
        <v>5</v>
      </c>
      <c r="F6" s="61">
        <v>1</v>
      </c>
      <c r="G6" s="58">
        <v>4</v>
      </c>
      <c r="H6" s="61">
        <v>1</v>
      </c>
      <c r="I6" s="58">
        <v>1</v>
      </c>
      <c r="J6" s="61">
        <v>1</v>
      </c>
      <c r="K6" s="58"/>
      <c r="L6" s="61">
        <v>5</v>
      </c>
      <c r="M6" s="58">
        <v>1</v>
      </c>
      <c r="N6" s="61">
        <v>1</v>
      </c>
      <c r="O6" s="58">
        <v>1</v>
      </c>
      <c r="P6" s="61">
        <v>5</v>
      </c>
      <c r="Q6" s="58">
        <v>1</v>
      </c>
      <c r="R6" s="61">
        <v>1</v>
      </c>
      <c r="S6" s="58">
        <v>5</v>
      </c>
    </row>
    <row r="7" spans="1:19" ht="15" hidden="1" outlineLevel="1" x14ac:dyDescent="0.2">
      <c r="A7" s="39" t="s">
        <v>253</v>
      </c>
      <c r="B7" s="39"/>
      <c r="C7" s="40">
        <v>5</v>
      </c>
      <c r="D7" s="61"/>
      <c r="E7" s="58">
        <v>3</v>
      </c>
      <c r="F7" s="61">
        <v>4</v>
      </c>
      <c r="G7" s="58">
        <v>5</v>
      </c>
      <c r="H7" s="61">
        <v>5</v>
      </c>
      <c r="I7" s="58">
        <v>5</v>
      </c>
      <c r="J7" s="61">
        <v>5</v>
      </c>
      <c r="K7" s="58"/>
      <c r="L7" s="61">
        <v>5</v>
      </c>
      <c r="M7" s="58">
        <v>5</v>
      </c>
      <c r="N7" s="61">
        <v>5</v>
      </c>
      <c r="O7" s="58">
        <v>5</v>
      </c>
      <c r="P7" s="61">
        <v>4</v>
      </c>
      <c r="Q7" s="58">
        <v>5</v>
      </c>
      <c r="R7" s="61">
        <v>5</v>
      </c>
      <c r="S7" s="58">
        <v>5</v>
      </c>
    </row>
    <row r="8" spans="1:19" ht="15" hidden="1" outlineLevel="1" x14ac:dyDescent="0.2">
      <c r="A8" s="39" t="s">
        <v>254</v>
      </c>
      <c r="B8" s="39"/>
      <c r="C8" s="40">
        <v>5</v>
      </c>
      <c r="D8" s="61"/>
      <c r="E8" s="58">
        <v>4</v>
      </c>
      <c r="F8" s="61">
        <v>4</v>
      </c>
      <c r="G8" s="58">
        <v>4</v>
      </c>
      <c r="H8" s="61">
        <v>4</v>
      </c>
      <c r="I8" s="58">
        <v>4</v>
      </c>
      <c r="J8" s="61">
        <v>4</v>
      </c>
      <c r="K8" s="58"/>
      <c r="L8" s="61">
        <v>5</v>
      </c>
      <c r="M8" s="58">
        <v>4</v>
      </c>
      <c r="N8" s="61">
        <v>4</v>
      </c>
      <c r="O8" s="58">
        <v>4</v>
      </c>
      <c r="P8" s="61">
        <v>4</v>
      </c>
      <c r="Q8" s="58">
        <v>4</v>
      </c>
      <c r="R8" s="61">
        <v>4</v>
      </c>
      <c r="S8" s="58">
        <v>4</v>
      </c>
    </row>
    <row r="9" spans="1:19" ht="15.75" collapsed="1" x14ac:dyDescent="0.2">
      <c r="A9" s="46" t="s">
        <v>244</v>
      </c>
      <c r="B9" s="52"/>
      <c r="C9" s="47">
        <f>IFERROR(AVERAGE(C4:C8), "")</f>
        <v>4.2</v>
      </c>
      <c r="D9" s="51" t="str">
        <f>IFERROR(AVERAGE(D4:D8), "")</f>
        <v/>
      </c>
      <c r="E9" s="47">
        <f t="shared" ref="E9:S9" si="0">IFERROR(AVERAGE(E4:E8), "")</f>
        <v>4.4000000000000004</v>
      </c>
      <c r="F9" s="51">
        <f t="shared" si="0"/>
        <v>3</v>
      </c>
      <c r="G9" s="47">
        <f t="shared" si="0"/>
        <v>3.8</v>
      </c>
      <c r="H9" s="51">
        <f t="shared" si="0"/>
        <v>3.4</v>
      </c>
      <c r="I9" s="47">
        <f t="shared" si="0"/>
        <v>3.2</v>
      </c>
      <c r="J9" s="51">
        <f t="shared" si="0"/>
        <v>3.2</v>
      </c>
      <c r="K9" s="47" t="str">
        <f t="shared" si="0"/>
        <v/>
      </c>
      <c r="L9" s="51">
        <f t="shared" si="0"/>
        <v>5</v>
      </c>
      <c r="M9" s="47">
        <f t="shared" si="0"/>
        <v>3.8</v>
      </c>
      <c r="N9" s="51">
        <f t="shared" si="0"/>
        <v>3.6</v>
      </c>
      <c r="O9" s="47">
        <f t="shared" si="0"/>
        <v>3.8</v>
      </c>
      <c r="P9" s="51">
        <f t="shared" si="0"/>
        <v>3.8</v>
      </c>
      <c r="Q9" s="47">
        <f t="shared" si="0"/>
        <v>3.6</v>
      </c>
      <c r="R9" s="51">
        <f t="shared" si="0"/>
        <v>3.6</v>
      </c>
      <c r="S9" s="47">
        <f t="shared" si="0"/>
        <v>4</v>
      </c>
    </row>
    <row r="10" spans="1:19" s="43" customFormat="1" ht="15" hidden="1" outlineLevel="1" x14ac:dyDescent="0.2">
      <c r="A10" s="48">
        <v>2025</v>
      </c>
      <c r="B10" s="53"/>
      <c r="C10" s="49">
        <v>1.3</v>
      </c>
      <c r="D10" s="62">
        <v>1.3</v>
      </c>
      <c r="E10" s="49">
        <v>8.8000000000000007</v>
      </c>
      <c r="F10" s="62">
        <v>3.5</v>
      </c>
      <c r="G10" s="49">
        <v>5.3</v>
      </c>
      <c r="H10" s="62">
        <v>6.1</v>
      </c>
      <c r="I10" s="49">
        <v>5.3</v>
      </c>
      <c r="J10" s="62">
        <v>5.3</v>
      </c>
      <c r="K10" s="49"/>
      <c r="L10" s="62"/>
      <c r="M10" s="49">
        <v>6.1</v>
      </c>
      <c r="N10" s="62">
        <v>6.3</v>
      </c>
      <c r="O10" s="49">
        <v>3.5</v>
      </c>
      <c r="P10" s="62">
        <v>3.5</v>
      </c>
      <c r="Q10" s="49">
        <v>1.1000000000000001</v>
      </c>
      <c r="R10" s="62">
        <v>0.5</v>
      </c>
      <c r="S10" s="49">
        <v>3.1</v>
      </c>
    </row>
    <row r="11" spans="1:19" s="43" customFormat="1" ht="15" hidden="1" outlineLevel="1" x14ac:dyDescent="0.2">
      <c r="A11" s="48">
        <v>2030</v>
      </c>
      <c r="B11" s="53"/>
      <c r="C11" s="49">
        <v>3.9</v>
      </c>
      <c r="D11" s="62">
        <v>3.9</v>
      </c>
      <c r="E11" s="49">
        <v>26.3</v>
      </c>
      <c r="F11" s="62">
        <v>10.5</v>
      </c>
      <c r="G11" s="49">
        <v>15.8</v>
      </c>
      <c r="H11" s="62">
        <v>18.399999999999999</v>
      </c>
      <c r="I11" s="49">
        <v>15.8</v>
      </c>
      <c r="J11" s="62">
        <v>15.8</v>
      </c>
      <c r="K11" s="49"/>
      <c r="L11" s="62"/>
      <c r="M11" s="49">
        <v>18.399999999999999</v>
      </c>
      <c r="N11" s="62">
        <v>18.899999999999999</v>
      </c>
      <c r="O11" s="49">
        <v>10.5</v>
      </c>
      <c r="P11" s="62">
        <v>10.5</v>
      </c>
      <c r="Q11" s="49">
        <v>3.2</v>
      </c>
      <c r="R11" s="62">
        <v>1.6</v>
      </c>
      <c r="S11" s="49">
        <v>9.1999999999999993</v>
      </c>
    </row>
    <row r="12" spans="1:19" s="43" customFormat="1" ht="15" hidden="1" outlineLevel="1" x14ac:dyDescent="0.2">
      <c r="A12" s="48">
        <v>2040</v>
      </c>
      <c r="B12" s="53"/>
      <c r="C12" s="49">
        <v>8.5</v>
      </c>
      <c r="D12" s="62">
        <v>8.5</v>
      </c>
      <c r="E12" s="49">
        <v>56.9</v>
      </c>
      <c r="F12" s="62">
        <v>22.8</v>
      </c>
      <c r="G12" s="49">
        <v>34.200000000000003</v>
      </c>
      <c r="H12" s="62">
        <v>39.9</v>
      </c>
      <c r="I12" s="49">
        <v>34.200000000000003</v>
      </c>
      <c r="J12" s="62">
        <v>34.200000000000003</v>
      </c>
      <c r="K12" s="49"/>
      <c r="L12" s="62"/>
      <c r="M12" s="49">
        <v>39.9</v>
      </c>
      <c r="N12" s="62">
        <v>41</v>
      </c>
      <c r="O12" s="49">
        <v>22.8</v>
      </c>
      <c r="P12" s="62">
        <v>22.8</v>
      </c>
      <c r="Q12" s="49">
        <v>6.8</v>
      </c>
      <c r="R12" s="62">
        <v>3.4</v>
      </c>
      <c r="S12" s="49">
        <v>19.899999999999999</v>
      </c>
    </row>
    <row r="13" spans="1:19" s="43" customFormat="1" ht="15" hidden="1" outlineLevel="1" x14ac:dyDescent="0.2">
      <c r="A13" s="48">
        <v>2050</v>
      </c>
      <c r="B13" s="53"/>
      <c r="C13" s="49">
        <v>13.1</v>
      </c>
      <c r="D13" s="62">
        <v>13.1</v>
      </c>
      <c r="E13" s="49">
        <v>87.6</v>
      </c>
      <c r="F13" s="62">
        <v>35</v>
      </c>
      <c r="G13" s="49">
        <v>52.6</v>
      </c>
      <c r="H13" s="62">
        <v>61.3</v>
      </c>
      <c r="I13" s="49">
        <v>52.6</v>
      </c>
      <c r="J13" s="62">
        <v>52.6</v>
      </c>
      <c r="K13" s="49"/>
      <c r="L13" s="62"/>
      <c r="M13" s="49">
        <v>61.3</v>
      </c>
      <c r="N13" s="62">
        <v>63.1</v>
      </c>
      <c r="O13" s="49">
        <v>35</v>
      </c>
      <c r="P13" s="62">
        <v>35</v>
      </c>
      <c r="Q13" s="49">
        <v>10.5</v>
      </c>
      <c r="R13" s="62">
        <v>5.3</v>
      </c>
      <c r="S13" s="49">
        <v>30.7</v>
      </c>
    </row>
    <row r="14" spans="1:19" s="43" customFormat="1" ht="37.5" customHeight="1" collapsed="1" thickBot="1" x14ac:dyDescent="0.25">
      <c r="A14" s="70"/>
      <c r="B14" s="71"/>
      <c r="C14" s="72"/>
      <c r="D14" s="63"/>
      <c r="E14" s="72"/>
      <c r="F14" s="63"/>
      <c r="G14" s="72"/>
      <c r="H14" s="63"/>
      <c r="I14" s="72"/>
      <c r="J14" s="63"/>
      <c r="K14" s="72"/>
      <c r="L14" s="63"/>
      <c r="M14" s="72"/>
      <c r="N14" s="63"/>
      <c r="O14" s="72"/>
      <c r="P14" s="63"/>
      <c r="Q14" s="72"/>
      <c r="R14" s="63"/>
      <c r="S14" s="72"/>
    </row>
    <row r="15" spans="1:19" s="43" customFormat="1" ht="15" hidden="1" outlineLevel="1" x14ac:dyDescent="0.2">
      <c r="A15" s="45" t="s">
        <v>259</v>
      </c>
      <c r="B15" s="56"/>
      <c r="C15" s="49">
        <v>5</v>
      </c>
      <c r="D15" s="62">
        <v>5</v>
      </c>
      <c r="E15" s="49">
        <v>5</v>
      </c>
      <c r="F15" s="62">
        <v>3</v>
      </c>
      <c r="G15" s="49">
        <v>2</v>
      </c>
      <c r="H15" s="62">
        <v>4</v>
      </c>
      <c r="I15" s="49">
        <v>2</v>
      </c>
      <c r="J15" s="62">
        <v>2</v>
      </c>
      <c r="K15" s="49"/>
      <c r="L15" s="62"/>
      <c r="M15" s="49">
        <v>5</v>
      </c>
      <c r="N15" s="62">
        <v>5</v>
      </c>
      <c r="O15" s="49">
        <v>5</v>
      </c>
      <c r="P15" s="62">
        <v>5</v>
      </c>
      <c r="Q15" s="49">
        <v>2</v>
      </c>
      <c r="R15" s="62">
        <v>2</v>
      </c>
      <c r="S15" s="49">
        <v>1</v>
      </c>
    </row>
    <row r="16" spans="1:19" s="43" customFormat="1" ht="15" hidden="1" outlineLevel="1" x14ac:dyDescent="0.2">
      <c r="A16" s="44" t="s">
        <v>255</v>
      </c>
      <c r="B16" s="55"/>
      <c r="C16" s="49">
        <v>5</v>
      </c>
      <c r="D16" s="62">
        <v>5</v>
      </c>
      <c r="E16" s="49">
        <v>5</v>
      </c>
      <c r="F16" s="62">
        <v>3</v>
      </c>
      <c r="G16" s="49">
        <v>1</v>
      </c>
      <c r="H16" s="62">
        <v>1</v>
      </c>
      <c r="I16" s="49">
        <v>1</v>
      </c>
      <c r="J16" s="62">
        <v>1</v>
      </c>
      <c r="K16" s="49"/>
      <c r="L16" s="62"/>
      <c r="M16" s="49">
        <v>5</v>
      </c>
      <c r="N16" s="62">
        <v>5</v>
      </c>
      <c r="O16" s="49">
        <v>5</v>
      </c>
      <c r="P16" s="62">
        <v>5</v>
      </c>
      <c r="Q16" s="49">
        <v>1</v>
      </c>
      <c r="R16" s="62">
        <v>1</v>
      </c>
      <c r="S16" s="49">
        <v>1</v>
      </c>
    </row>
    <row r="17" spans="1:19" s="43" customFormat="1" ht="15" hidden="1" outlineLevel="1" x14ac:dyDescent="0.2">
      <c r="A17" s="45" t="s">
        <v>256</v>
      </c>
      <c r="B17" s="56"/>
      <c r="C17" s="49">
        <v>5</v>
      </c>
      <c r="D17" s="62">
        <v>5</v>
      </c>
      <c r="E17" s="49">
        <v>4</v>
      </c>
      <c r="F17" s="62">
        <v>4</v>
      </c>
      <c r="G17" s="49">
        <v>4</v>
      </c>
      <c r="H17" s="62">
        <v>3</v>
      </c>
      <c r="I17" s="49">
        <v>4</v>
      </c>
      <c r="J17" s="62">
        <v>4</v>
      </c>
      <c r="K17" s="49"/>
      <c r="L17" s="62"/>
      <c r="M17" s="49">
        <v>4</v>
      </c>
      <c r="N17" s="62">
        <v>4</v>
      </c>
      <c r="O17" s="49">
        <v>4</v>
      </c>
      <c r="P17" s="62">
        <v>4</v>
      </c>
      <c r="Q17" s="49">
        <v>4</v>
      </c>
      <c r="R17" s="62">
        <v>4</v>
      </c>
      <c r="S17" s="49">
        <v>3</v>
      </c>
    </row>
    <row r="18" spans="1:19" s="43" customFormat="1" ht="15" hidden="1" outlineLevel="1" x14ac:dyDescent="0.2">
      <c r="A18" s="45" t="s">
        <v>257</v>
      </c>
      <c r="B18" s="56"/>
      <c r="C18" s="49">
        <v>5</v>
      </c>
      <c r="D18" s="62">
        <v>5</v>
      </c>
      <c r="E18" s="49">
        <v>5</v>
      </c>
      <c r="F18" s="62">
        <v>4</v>
      </c>
      <c r="G18" s="49">
        <v>3</v>
      </c>
      <c r="H18" s="62">
        <v>3</v>
      </c>
      <c r="I18" s="49">
        <v>3</v>
      </c>
      <c r="J18" s="62">
        <v>3</v>
      </c>
      <c r="K18" s="49"/>
      <c r="L18" s="62"/>
      <c r="M18" s="49">
        <v>5</v>
      </c>
      <c r="N18" s="62">
        <v>5</v>
      </c>
      <c r="O18" s="49">
        <v>5</v>
      </c>
      <c r="P18" s="62">
        <v>5</v>
      </c>
      <c r="Q18" s="49">
        <v>3</v>
      </c>
      <c r="R18" s="62">
        <v>3</v>
      </c>
      <c r="S18" s="49">
        <v>1</v>
      </c>
    </row>
    <row r="19" spans="1:19" s="43" customFormat="1" ht="15" hidden="1" outlineLevel="1" x14ac:dyDescent="0.2">
      <c r="A19" s="45" t="s">
        <v>258</v>
      </c>
      <c r="B19" s="56"/>
      <c r="C19" s="49">
        <v>5</v>
      </c>
      <c r="D19" s="62">
        <v>5</v>
      </c>
      <c r="E19" s="49">
        <v>5</v>
      </c>
      <c r="F19" s="62">
        <v>5</v>
      </c>
      <c r="G19" s="49">
        <v>2</v>
      </c>
      <c r="H19" s="62">
        <v>2</v>
      </c>
      <c r="I19" s="49">
        <v>2</v>
      </c>
      <c r="J19" s="62">
        <v>2</v>
      </c>
      <c r="K19" s="49"/>
      <c r="L19" s="62"/>
      <c r="M19" s="49">
        <v>5</v>
      </c>
      <c r="N19" s="62">
        <v>5</v>
      </c>
      <c r="O19" s="49">
        <v>5</v>
      </c>
      <c r="P19" s="62">
        <v>5</v>
      </c>
      <c r="Q19" s="49">
        <v>2</v>
      </c>
      <c r="R19" s="62">
        <v>2</v>
      </c>
      <c r="S19" s="49">
        <v>4</v>
      </c>
    </row>
    <row r="20" spans="1:19" ht="15.75" collapsed="1" x14ac:dyDescent="0.2">
      <c r="A20" s="46" t="s">
        <v>245</v>
      </c>
      <c r="B20" s="52"/>
      <c r="C20" s="47">
        <f t="shared" ref="C20:S20" si="1">IFERROR(AVERAGE(C15:C19), "")</f>
        <v>5</v>
      </c>
      <c r="D20" s="51">
        <f t="shared" ref="D20" si="2">IFERROR(AVERAGE(D15:D19), "")</f>
        <v>5</v>
      </c>
      <c r="E20" s="47">
        <f t="shared" si="1"/>
        <v>4.8</v>
      </c>
      <c r="F20" s="51">
        <f t="shared" si="1"/>
        <v>3.8</v>
      </c>
      <c r="G20" s="47">
        <f t="shared" si="1"/>
        <v>2.4</v>
      </c>
      <c r="H20" s="51">
        <f t="shared" si="1"/>
        <v>2.6</v>
      </c>
      <c r="I20" s="47">
        <f t="shared" si="1"/>
        <v>2.4</v>
      </c>
      <c r="J20" s="51">
        <f t="shared" si="1"/>
        <v>2.4</v>
      </c>
      <c r="K20" s="47" t="str">
        <f t="shared" si="1"/>
        <v/>
      </c>
      <c r="L20" s="51" t="str">
        <f t="shared" si="1"/>
        <v/>
      </c>
      <c r="M20" s="47">
        <f t="shared" si="1"/>
        <v>4.8</v>
      </c>
      <c r="N20" s="51">
        <f t="shared" si="1"/>
        <v>4.8</v>
      </c>
      <c r="O20" s="47">
        <f t="shared" si="1"/>
        <v>4.8</v>
      </c>
      <c r="P20" s="51">
        <f t="shared" si="1"/>
        <v>4.8</v>
      </c>
      <c r="Q20" s="47">
        <f t="shared" si="1"/>
        <v>2.4</v>
      </c>
      <c r="R20" s="51">
        <f t="shared" si="1"/>
        <v>2.4</v>
      </c>
      <c r="S20" s="47">
        <f t="shared" si="1"/>
        <v>2</v>
      </c>
    </row>
    <row r="21" spans="1:19" ht="15" hidden="1" outlineLevel="1" x14ac:dyDescent="0.2">
      <c r="A21" s="41">
        <v>2025</v>
      </c>
      <c r="B21" s="54"/>
      <c r="C21" s="49">
        <v>-0.5</v>
      </c>
      <c r="D21" s="62">
        <v>-0.5</v>
      </c>
      <c r="E21" s="49">
        <v>0</v>
      </c>
      <c r="F21" s="62">
        <v>1.1000000000000001</v>
      </c>
      <c r="G21" s="49">
        <v>2.4</v>
      </c>
      <c r="H21" s="62">
        <v>0.6</v>
      </c>
      <c r="I21" s="49">
        <v>2.1</v>
      </c>
      <c r="J21" s="62">
        <v>2.1</v>
      </c>
      <c r="K21" s="49"/>
      <c r="L21" s="62"/>
      <c r="M21" s="49">
        <v>0</v>
      </c>
      <c r="N21" s="62">
        <v>0</v>
      </c>
      <c r="O21" s="49">
        <v>0</v>
      </c>
      <c r="P21" s="62">
        <v>0</v>
      </c>
      <c r="Q21" s="49">
        <v>0.4</v>
      </c>
      <c r="R21" s="62">
        <v>0.2</v>
      </c>
      <c r="S21" s="49">
        <v>2.8</v>
      </c>
    </row>
    <row r="22" spans="1:19" ht="15" hidden="1" outlineLevel="1" x14ac:dyDescent="0.2">
      <c r="A22" s="41">
        <v>2030</v>
      </c>
      <c r="B22" s="54"/>
      <c r="C22" s="49">
        <v>-1.6</v>
      </c>
      <c r="D22" s="62">
        <v>-1.6</v>
      </c>
      <c r="E22" s="49">
        <v>0</v>
      </c>
      <c r="F22" s="62">
        <v>3.2</v>
      </c>
      <c r="G22" s="49">
        <v>7.1</v>
      </c>
      <c r="H22" s="62">
        <v>1.8</v>
      </c>
      <c r="I22" s="49">
        <v>6.3</v>
      </c>
      <c r="J22" s="62">
        <v>6.3</v>
      </c>
      <c r="K22" s="49"/>
      <c r="L22" s="62"/>
      <c r="M22" s="49">
        <v>0</v>
      </c>
      <c r="N22" s="62">
        <v>0</v>
      </c>
      <c r="O22" s="49">
        <v>0</v>
      </c>
      <c r="P22" s="62">
        <v>0</v>
      </c>
      <c r="Q22" s="49">
        <v>1.3</v>
      </c>
      <c r="R22" s="62">
        <v>0.6</v>
      </c>
      <c r="S22" s="49">
        <v>8.3000000000000007</v>
      </c>
    </row>
    <row r="23" spans="1:19" ht="15" hidden="1" outlineLevel="1" x14ac:dyDescent="0.2">
      <c r="A23" s="41">
        <v>2040</v>
      </c>
      <c r="B23" s="54"/>
      <c r="C23" s="49">
        <v>-3.4</v>
      </c>
      <c r="D23" s="62">
        <v>-3.4</v>
      </c>
      <c r="E23" s="49">
        <v>0</v>
      </c>
      <c r="F23" s="62">
        <v>6.8</v>
      </c>
      <c r="G23" s="49">
        <v>15.4</v>
      </c>
      <c r="H23" s="62">
        <v>4</v>
      </c>
      <c r="I23" s="49">
        <v>13.7</v>
      </c>
      <c r="J23" s="62">
        <v>13.7</v>
      </c>
      <c r="K23" s="49"/>
      <c r="L23" s="62"/>
      <c r="M23" s="49">
        <v>0</v>
      </c>
      <c r="N23" s="62">
        <v>0</v>
      </c>
      <c r="O23" s="49">
        <v>0</v>
      </c>
      <c r="P23" s="62">
        <v>0</v>
      </c>
      <c r="Q23" s="49">
        <v>2.7</v>
      </c>
      <c r="R23" s="62">
        <v>1.4</v>
      </c>
      <c r="S23" s="49">
        <v>17.899999999999999</v>
      </c>
    </row>
    <row r="24" spans="1:19" ht="15" hidden="1" outlineLevel="1" x14ac:dyDescent="0.2">
      <c r="A24" s="41">
        <v>2050</v>
      </c>
      <c r="B24" s="54"/>
      <c r="C24" s="49">
        <v>-5.3</v>
      </c>
      <c r="D24" s="62">
        <v>-5.3</v>
      </c>
      <c r="E24" s="49">
        <v>0</v>
      </c>
      <c r="F24" s="62">
        <v>10.5</v>
      </c>
      <c r="G24" s="49">
        <v>23.7</v>
      </c>
      <c r="H24" s="62">
        <v>6.1</v>
      </c>
      <c r="I24" s="49">
        <v>21</v>
      </c>
      <c r="J24" s="62">
        <v>21</v>
      </c>
      <c r="K24" s="49"/>
      <c r="L24" s="62"/>
      <c r="M24" s="49">
        <v>0</v>
      </c>
      <c r="N24" s="62">
        <v>0</v>
      </c>
      <c r="O24" s="49">
        <v>0</v>
      </c>
      <c r="P24" s="62">
        <v>0</v>
      </c>
      <c r="Q24" s="49">
        <v>4.2</v>
      </c>
      <c r="R24" s="62">
        <v>2.1</v>
      </c>
      <c r="S24" s="49">
        <v>27.6</v>
      </c>
    </row>
    <row r="25" spans="1:19" ht="37.5" customHeight="1" collapsed="1" thickBot="1" x14ac:dyDescent="0.25">
      <c r="A25" s="70"/>
      <c r="B25" s="71"/>
      <c r="C25" s="72"/>
      <c r="D25" s="63"/>
      <c r="E25" s="72"/>
      <c r="F25" s="63"/>
      <c r="G25" s="72"/>
      <c r="H25" s="63"/>
      <c r="I25" s="72"/>
      <c r="J25" s="63"/>
      <c r="K25" s="72"/>
      <c r="L25" s="63"/>
      <c r="M25" s="72"/>
      <c r="N25" s="63"/>
      <c r="O25" s="72"/>
      <c r="P25" s="63"/>
      <c r="Q25" s="72"/>
      <c r="R25" s="63"/>
      <c r="S25" s="72"/>
    </row>
    <row r="26" spans="1:19" ht="15" hidden="1" outlineLevel="1" x14ac:dyDescent="0.2">
      <c r="A26" s="45" t="s">
        <v>260</v>
      </c>
      <c r="B26" s="56"/>
      <c r="C26" s="49">
        <v>5</v>
      </c>
      <c r="D26" s="62">
        <v>5</v>
      </c>
      <c r="E26" s="49">
        <v>5</v>
      </c>
      <c r="F26" s="62"/>
      <c r="G26" s="49">
        <v>5</v>
      </c>
      <c r="H26" s="62">
        <v>5</v>
      </c>
      <c r="I26" s="49">
        <v>5</v>
      </c>
      <c r="J26" s="62">
        <v>5</v>
      </c>
      <c r="K26" s="49"/>
      <c r="L26" s="62"/>
      <c r="M26" s="49"/>
      <c r="N26" s="62">
        <v>5</v>
      </c>
      <c r="O26" s="49">
        <v>5</v>
      </c>
      <c r="P26" s="62">
        <v>5</v>
      </c>
      <c r="Q26" s="49">
        <v>5</v>
      </c>
      <c r="R26" s="62">
        <v>5</v>
      </c>
      <c r="S26" s="49">
        <v>5</v>
      </c>
    </row>
    <row r="27" spans="1:19" ht="15" hidden="1" outlineLevel="1" x14ac:dyDescent="0.2">
      <c r="A27" s="44" t="s">
        <v>261</v>
      </c>
      <c r="B27" s="55"/>
      <c r="C27" s="49">
        <v>5</v>
      </c>
      <c r="D27" s="62">
        <v>5</v>
      </c>
      <c r="E27" s="49">
        <v>5</v>
      </c>
      <c r="F27" s="62"/>
      <c r="G27" s="49">
        <v>4</v>
      </c>
      <c r="H27" s="62">
        <v>4</v>
      </c>
      <c r="I27" s="49">
        <v>4</v>
      </c>
      <c r="J27" s="62">
        <v>4</v>
      </c>
      <c r="K27" s="49"/>
      <c r="L27" s="62"/>
      <c r="M27" s="49"/>
      <c r="N27" s="62">
        <v>5</v>
      </c>
      <c r="O27" s="49">
        <v>5</v>
      </c>
      <c r="P27" s="62">
        <v>5</v>
      </c>
      <c r="Q27" s="49">
        <v>4</v>
      </c>
      <c r="R27" s="62">
        <v>4</v>
      </c>
      <c r="S27" s="49">
        <v>2</v>
      </c>
    </row>
    <row r="28" spans="1:19" ht="15" hidden="1" outlineLevel="1" x14ac:dyDescent="0.2">
      <c r="A28" s="45" t="s">
        <v>262</v>
      </c>
      <c r="B28" s="56"/>
      <c r="C28" s="49">
        <v>5</v>
      </c>
      <c r="D28" s="62">
        <v>5</v>
      </c>
      <c r="E28" s="49">
        <v>4</v>
      </c>
      <c r="F28" s="62"/>
      <c r="G28" s="49">
        <v>4</v>
      </c>
      <c r="H28" s="62">
        <v>2</v>
      </c>
      <c r="I28" s="49">
        <v>4</v>
      </c>
      <c r="J28" s="62">
        <v>4</v>
      </c>
      <c r="K28" s="49"/>
      <c r="L28" s="62"/>
      <c r="M28" s="49"/>
      <c r="N28" s="62">
        <v>2</v>
      </c>
      <c r="O28" s="49">
        <v>2</v>
      </c>
      <c r="P28" s="62">
        <v>1</v>
      </c>
      <c r="Q28" s="49">
        <v>4</v>
      </c>
      <c r="R28" s="62">
        <v>4</v>
      </c>
      <c r="S28" s="49">
        <v>4</v>
      </c>
    </row>
    <row r="29" spans="1:19" ht="15" hidden="1" outlineLevel="1" x14ac:dyDescent="0.2">
      <c r="A29" s="45" t="s">
        <v>263</v>
      </c>
      <c r="B29" s="56"/>
      <c r="C29" s="49">
        <v>5</v>
      </c>
      <c r="D29" s="62">
        <v>5</v>
      </c>
      <c r="E29" s="49">
        <v>5</v>
      </c>
      <c r="F29" s="62"/>
      <c r="G29" s="49">
        <v>4</v>
      </c>
      <c r="H29" s="62">
        <v>4</v>
      </c>
      <c r="I29" s="49">
        <v>4</v>
      </c>
      <c r="J29" s="62">
        <v>4</v>
      </c>
      <c r="K29" s="49"/>
      <c r="L29" s="62"/>
      <c r="M29" s="49"/>
      <c r="N29" s="62">
        <v>5</v>
      </c>
      <c r="O29" s="49">
        <v>5</v>
      </c>
      <c r="P29" s="62">
        <v>2</v>
      </c>
      <c r="Q29" s="49">
        <v>4</v>
      </c>
      <c r="R29" s="62">
        <v>4</v>
      </c>
      <c r="S29" s="49">
        <v>4</v>
      </c>
    </row>
    <row r="30" spans="1:19" ht="15" hidden="1" outlineLevel="1" x14ac:dyDescent="0.2">
      <c r="A30" s="45" t="s">
        <v>264</v>
      </c>
      <c r="B30" s="56"/>
      <c r="C30" s="49">
        <v>5</v>
      </c>
      <c r="D30" s="62">
        <v>5</v>
      </c>
      <c r="E30" s="49">
        <v>4</v>
      </c>
      <c r="F30" s="62"/>
      <c r="G30" s="49">
        <v>4</v>
      </c>
      <c r="H30" s="62">
        <v>2</v>
      </c>
      <c r="I30" s="49">
        <v>4</v>
      </c>
      <c r="J30" s="62">
        <v>4</v>
      </c>
      <c r="K30" s="49"/>
      <c r="L30" s="62"/>
      <c r="M30" s="49"/>
      <c r="N30" s="62">
        <v>2</v>
      </c>
      <c r="O30" s="49">
        <v>2</v>
      </c>
      <c r="P30" s="62">
        <v>1</v>
      </c>
      <c r="Q30" s="49">
        <v>4</v>
      </c>
      <c r="R30" s="62">
        <v>4</v>
      </c>
      <c r="S30" s="49">
        <v>4</v>
      </c>
    </row>
    <row r="31" spans="1:19" ht="15.75" collapsed="1" x14ac:dyDescent="0.2">
      <c r="A31" s="46" t="s">
        <v>284</v>
      </c>
      <c r="B31" s="52"/>
      <c r="C31" s="47">
        <v>5</v>
      </c>
      <c r="D31" s="51">
        <v>5</v>
      </c>
      <c r="E31" s="47">
        <v>4.5999999999999996</v>
      </c>
      <c r="F31" s="51" t="s">
        <v>273</v>
      </c>
      <c r="G31" s="47">
        <v>4.2</v>
      </c>
      <c r="H31" s="51">
        <v>3.4</v>
      </c>
      <c r="I31" s="47">
        <v>4.2</v>
      </c>
      <c r="J31" s="51">
        <v>4.2</v>
      </c>
      <c r="K31" s="47" t="s">
        <v>273</v>
      </c>
      <c r="L31" s="51" t="s">
        <v>273</v>
      </c>
      <c r="M31" s="47" t="s">
        <v>273</v>
      </c>
      <c r="N31" s="51">
        <v>3.8</v>
      </c>
      <c r="O31" s="47">
        <v>3.8</v>
      </c>
      <c r="P31" s="51">
        <v>2.8</v>
      </c>
      <c r="Q31" s="47">
        <v>4.2</v>
      </c>
      <c r="R31" s="51">
        <v>4.2</v>
      </c>
      <c r="S31" s="47">
        <v>3.8</v>
      </c>
    </row>
    <row r="32" spans="1:19" ht="15" hidden="1" outlineLevel="1" x14ac:dyDescent="0.2">
      <c r="A32" s="41">
        <v>2025</v>
      </c>
      <c r="B32" s="54"/>
      <c r="C32" s="49">
        <v>-0.5</v>
      </c>
      <c r="D32" s="62">
        <v>-0.5</v>
      </c>
      <c r="E32" s="49">
        <v>0.5</v>
      </c>
      <c r="F32" s="62"/>
      <c r="G32" s="49">
        <v>1</v>
      </c>
      <c r="H32" s="62">
        <v>1</v>
      </c>
      <c r="I32" s="49">
        <v>0</v>
      </c>
      <c r="J32" s="62">
        <v>0</v>
      </c>
      <c r="K32" s="49"/>
      <c r="L32" s="62"/>
      <c r="M32" s="49"/>
      <c r="N32" s="62">
        <v>1.5</v>
      </c>
      <c r="O32" s="49">
        <v>3</v>
      </c>
      <c r="P32" s="62">
        <v>3</v>
      </c>
      <c r="Q32" s="49">
        <v>0</v>
      </c>
      <c r="R32" s="62">
        <v>0</v>
      </c>
      <c r="S32" s="49">
        <v>0</v>
      </c>
    </row>
    <row r="33" spans="1:19" ht="15" hidden="1" outlineLevel="1" x14ac:dyDescent="0.2">
      <c r="A33" s="41">
        <v>2030</v>
      </c>
      <c r="B33" s="54"/>
      <c r="C33" s="49">
        <v>-1</v>
      </c>
      <c r="D33" s="62">
        <v>-1</v>
      </c>
      <c r="E33" s="49">
        <v>-0.5</v>
      </c>
      <c r="F33" s="62"/>
      <c r="G33" s="49">
        <v>1.5</v>
      </c>
      <c r="H33" s="62">
        <v>2</v>
      </c>
      <c r="I33" s="49">
        <v>0</v>
      </c>
      <c r="J33" s="62">
        <v>0</v>
      </c>
      <c r="K33" s="49"/>
      <c r="L33" s="62"/>
      <c r="M33" s="49"/>
      <c r="N33" s="62">
        <v>2.5</v>
      </c>
      <c r="O33" s="49">
        <v>4</v>
      </c>
      <c r="P33" s="62">
        <v>4</v>
      </c>
      <c r="Q33" s="49">
        <v>0</v>
      </c>
      <c r="R33" s="62">
        <v>0</v>
      </c>
      <c r="S33" s="49">
        <v>1.5</v>
      </c>
    </row>
    <row r="34" spans="1:19" ht="15" hidden="1" outlineLevel="1" x14ac:dyDescent="0.2">
      <c r="A34" s="41">
        <v>2040</v>
      </c>
      <c r="B34" s="54"/>
      <c r="C34" s="49">
        <v>-1.5</v>
      </c>
      <c r="D34" s="62">
        <v>-1.5</v>
      </c>
      <c r="E34" s="49">
        <v>-1.5</v>
      </c>
      <c r="F34" s="62"/>
      <c r="G34" s="49">
        <v>2</v>
      </c>
      <c r="H34" s="62">
        <v>3.5</v>
      </c>
      <c r="I34" s="49">
        <v>0.5</v>
      </c>
      <c r="J34" s="62">
        <v>0.5</v>
      </c>
      <c r="K34" s="49"/>
      <c r="L34" s="62"/>
      <c r="M34" s="49"/>
      <c r="N34" s="62">
        <v>3</v>
      </c>
      <c r="O34" s="49">
        <v>5</v>
      </c>
      <c r="P34" s="62">
        <v>5</v>
      </c>
      <c r="Q34" s="49">
        <v>0.5</v>
      </c>
      <c r="R34" s="62">
        <v>0.5</v>
      </c>
      <c r="S34" s="49">
        <v>3</v>
      </c>
    </row>
    <row r="35" spans="1:19" ht="15" hidden="1" outlineLevel="1" x14ac:dyDescent="0.2">
      <c r="A35" s="41">
        <v>2050</v>
      </c>
      <c r="B35" s="54"/>
      <c r="C35" s="49">
        <v>-2</v>
      </c>
      <c r="D35" s="62">
        <v>-2</v>
      </c>
      <c r="E35" s="49">
        <v>-3</v>
      </c>
      <c r="F35" s="62"/>
      <c r="G35" s="49">
        <v>2.5</v>
      </c>
      <c r="H35" s="62">
        <v>4.5</v>
      </c>
      <c r="I35" s="49">
        <v>1</v>
      </c>
      <c r="J35" s="62">
        <v>1</v>
      </c>
      <c r="K35" s="49"/>
      <c r="L35" s="62"/>
      <c r="M35" s="49"/>
      <c r="N35" s="62">
        <v>3.5</v>
      </c>
      <c r="O35" s="49">
        <v>4.5</v>
      </c>
      <c r="P35" s="62">
        <v>4.5</v>
      </c>
      <c r="Q35" s="49">
        <v>1</v>
      </c>
      <c r="R35" s="62">
        <v>1</v>
      </c>
      <c r="S35" s="49">
        <v>5</v>
      </c>
    </row>
    <row r="36" spans="1:19" ht="37.5" customHeight="1" collapsed="1" thickBot="1" x14ac:dyDescent="0.25">
      <c r="A36" s="70"/>
      <c r="B36" s="70"/>
      <c r="C36" s="73"/>
      <c r="D36" s="63"/>
      <c r="E36" s="72"/>
      <c r="F36" s="63"/>
      <c r="G36" s="72"/>
      <c r="H36" s="63"/>
      <c r="I36" s="72"/>
      <c r="J36" s="63"/>
      <c r="K36" s="72"/>
      <c r="L36" s="63"/>
      <c r="M36" s="72"/>
      <c r="N36" s="63"/>
      <c r="O36" s="72"/>
      <c r="P36" s="63"/>
      <c r="Q36" s="72"/>
      <c r="R36" s="63"/>
      <c r="S36" s="72"/>
    </row>
    <row r="37" spans="1:19" ht="15" hidden="1" outlineLevel="1" x14ac:dyDescent="0.2">
      <c r="A37" s="45" t="s">
        <v>246</v>
      </c>
      <c r="B37" s="45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 spans="1:19" ht="16.5" collapsed="1" thickBot="1" x14ac:dyDescent="0.25">
      <c r="A38" s="24" t="s">
        <v>247</v>
      </c>
      <c r="B38" s="24"/>
      <c r="C38" s="12" t="s">
        <v>218</v>
      </c>
      <c r="D38" s="12"/>
      <c r="E38" s="12" t="s">
        <v>218</v>
      </c>
      <c r="F38" s="12" t="s">
        <v>218</v>
      </c>
      <c r="G38" s="12" t="s">
        <v>219</v>
      </c>
      <c r="H38" s="12" t="s">
        <v>219</v>
      </c>
      <c r="I38" s="12" t="s">
        <v>219</v>
      </c>
      <c r="J38" s="12" t="s">
        <v>218</v>
      </c>
      <c r="K38" s="12" t="s">
        <v>243</v>
      </c>
      <c r="L38" s="12"/>
      <c r="M38" s="12" t="s">
        <v>220</v>
      </c>
      <c r="N38" s="12" t="s">
        <v>220</v>
      </c>
      <c r="O38" s="12" t="s">
        <v>220</v>
      </c>
      <c r="P38" s="12" t="s">
        <v>220</v>
      </c>
      <c r="Q38" s="12" t="s">
        <v>219</v>
      </c>
      <c r="R38" s="12" t="s">
        <v>219</v>
      </c>
      <c r="S38" s="12" t="s">
        <v>220</v>
      </c>
    </row>
    <row r="39" spans="1:19" ht="32.25" thickBot="1" x14ac:dyDescent="0.25">
      <c r="A39" s="25" t="s">
        <v>221</v>
      </c>
      <c r="B39" s="74"/>
      <c r="C39" s="12" t="s">
        <v>228</v>
      </c>
      <c r="D39" s="12"/>
      <c r="E39" s="12" t="s">
        <v>222</v>
      </c>
      <c r="F39" s="12" t="s">
        <v>223</v>
      </c>
      <c r="G39" s="12" t="s">
        <v>224</v>
      </c>
      <c r="H39" s="12" t="s">
        <v>225</v>
      </c>
      <c r="I39" s="12" t="s">
        <v>226</v>
      </c>
      <c r="J39" s="12" t="s">
        <v>227</v>
      </c>
      <c r="K39" s="12" t="s">
        <v>243</v>
      </c>
      <c r="L39" s="12"/>
      <c r="M39" s="12" t="s">
        <v>229</v>
      </c>
      <c r="N39" s="12" t="s">
        <v>230</v>
      </c>
      <c r="O39" s="12" t="s">
        <v>229</v>
      </c>
      <c r="P39" s="12" t="s">
        <v>226</v>
      </c>
      <c r="Q39" s="12" t="s">
        <v>231</v>
      </c>
      <c r="R39" s="12" t="s">
        <v>231</v>
      </c>
      <c r="S39" s="12" t="s">
        <v>227</v>
      </c>
    </row>
    <row r="40" spans="1:19" s="5" customFormat="1" x14ac:dyDescent="0.2">
      <c r="A40" s="104" t="s">
        <v>102</v>
      </c>
      <c r="B40" s="101" t="s">
        <v>265</v>
      </c>
      <c r="C40" s="7" t="s">
        <v>272</v>
      </c>
      <c r="D40" s="7"/>
      <c r="E40" s="7" t="s">
        <v>268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s="5" customFormat="1" x14ac:dyDescent="0.2">
      <c r="A41" s="105"/>
      <c r="B41" s="10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s="5" customFormat="1" ht="15" thickBot="1" x14ac:dyDescent="0.25">
      <c r="A42" s="105"/>
      <c r="B42" s="102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1:19" s="32" customFormat="1" ht="36" customHeight="1" x14ac:dyDescent="0.2">
      <c r="A43" s="105"/>
      <c r="B43" s="103" t="s">
        <v>266</v>
      </c>
      <c r="C43" s="30" t="s">
        <v>207</v>
      </c>
      <c r="D43" s="30" t="s">
        <v>275</v>
      </c>
      <c r="E43" s="31" t="s">
        <v>69</v>
      </c>
      <c r="F43" s="30" t="s">
        <v>70</v>
      </c>
      <c r="G43" s="31"/>
      <c r="H43" s="30" t="s">
        <v>179</v>
      </c>
      <c r="I43" s="30" t="s">
        <v>197</v>
      </c>
      <c r="J43" s="30" t="s">
        <v>214</v>
      </c>
      <c r="K43" s="30"/>
      <c r="L43" s="30"/>
      <c r="M43" s="30" t="s">
        <v>12</v>
      </c>
      <c r="N43" s="31" t="s">
        <v>4</v>
      </c>
      <c r="O43" s="30" t="s">
        <v>8</v>
      </c>
      <c r="P43" s="30" t="s">
        <v>105</v>
      </c>
      <c r="Q43" s="30"/>
      <c r="R43" s="30"/>
      <c r="S43" s="30"/>
    </row>
    <row r="44" spans="1:19" s="4" customFormat="1" ht="48" x14ac:dyDescent="0.2">
      <c r="A44" s="105"/>
      <c r="B44" s="101"/>
      <c r="C44" s="7"/>
      <c r="D44" s="7"/>
      <c r="E44" s="7" t="s">
        <v>107</v>
      </c>
      <c r="F44" s="7" t="s">
        <v>16</v>
      </c>
      <c r="G44" s="7"/>
      <c r="H44" s="7" t="s">
        <v>195</v>
      </c>
      <c r="I44" s="7" t="s">
        <v>198</v>
      </c>
      <c r="J44" s="7"/>
      <c r="K44" s="7"/>
      <c r="L44" s="7"/>
      <c r="M44" s="7" t="s">
        <v>13</v>
      </c>
      <c r="N44" s="7" t="s">
        <v>5</v>
      </c>
      <c r="O44" s="7" t="s">
        <v>9</v>
      </c>
      <c r="P44" s="7" t="s">
        <v>19</v>
      </c>
      <c r="Q44" s="7"/>
      <c r="R44" s="7"/>
      <c r="S44" s="7"/>
    </row>
    <row r="45" spans="1:19" s="4" customFormat="1" ht="36" x14ac:dyDescent="0.2">
      <c r="A45" s="105"/>
      <c r="B45" s="101"/>
      <c r="C45" s="6"/>
      <c r="D45" s="6"/>
      <c r="E45" s="6" t="s">
        <v>121</v>
      </c>
      <c r="F45" s="6" t="s">
        <v>165</v>
      </c>
      <c r="G45" s="6"/>
      <c r="H45" s="6" t="s">
        <v>180</v>
      </c>
      <c r="I45" s="6" t="s">
        <v>199</v>
      </c>
      <c r="J45" s="6"/>
      <c r="K45" s="6"/>
      <c r="L45" s="6"/>
      <c r="M45" s="6" t="s">
        <v>122</v>
      </c>
      <c r="N45" s="6" t="s">
        <v>123</v>
      </c>
      <c r="O45" s="6" t="s">
        <v>124</v>
      </c>
      <c r="P45" s="6" t="s">
        <v>125</v>
      </c>
      <c r="Q45" s="6"/>
      <c r="R45" s="6"/>
      <c r="S45" s="6"/>
    </row>
    <row r="46" spans="1:19" s="32" customFormat="1" ht="36" x14ac:dyDescent="0.2">
      <c r="A46" s="105"/>
      <c r="B46" s="101"/>
      <c r="C46" s="30" t="s">
        <v>210</v>
      </c>
      <c r="D46" s="30" t="s">
        <v>277</v>
      </c>
      <c r="E46" s="31" t="s">
        <v>3</v>
      </c>
      <c r="F46" s="30" t="s">
        <v>17</v>
      </c>
      <c r="G46" s="31"/>
      <c r="H46" s="30" t="s">
        <v>181</v>
      </c>
      <c r="I46" s="30"/>
      <c r="J46" s="30"/>
      <c r="K46" s="30"/>
      <c r="L46" s="30"/>
      <c r="M46" s="30" t="s">
        <v>14</v>
      </c>
      <c r="N46" s="31" t="s">
        <v>6</v>
      </c>
      <c r="O46" s="30" t="s">
        <v>10</v>
      </c>
      <c r="P46" s="30" t="s">
        <v>20</v>
      </c>
      <c r="Q46" s="30"/>
      <c r="R46" s="30"/>
      <c r="S46" s="30"/>
    </row>
    <row r="47" spans="1:19" s="4" customFormat="1" ht="48" x14ac:dyDescent="0.2">
      <c r="A47" s="105"/>
      <c r="B47" s="101"/>
      <c r="C47" s="7"/>
      <c r="D47" s="7" t="s">
        <v>278</v>
      </c>
      <c r="E47" s="7" t="s">
        <v>108</v>
      </c>
      <c r="F47" s="7" t="s">
        <v>18</v>
      </c>
      <c r="G47" s="7"/>
      <c r="H47" s="7" t="s">
        <v>196</v>
      </c>
      <c r="I47" s="7"/>
      <c r="J47" s="7"/>
      <c r="K47" s="7"/>
      <c r="L47" s="7"/>
      <c r="M47" s="7" t="s">
        <v>15</v>
      </c>
      <c r="N47" s="7" t="s">
        <v>7</v>
      </c>
      <c r="O47" s="7" t="s">
        <v>11</v>
      </c>
      <c r="P47" s="7" t="s">
        <v>21</v>
      </c>
      <c r="Q47" s="7"/>
      <c r="R47" s="7"/>
      <c r="S47" s="7"/>
    </row>
    <row r="48" spans="1:19" s="4" customFormat="1" ht="36.75" thickBot="1" x14ac:dyDescent="0.25">
      <c r="A48" s="105"/>
      <c r="B48" s="101"/>
      <c r="C48" s="28"/>
      <c r="D48" s="28"/>
      <c r="E48" s="28" t="s">
        <v>126</v>
      </c>
      <c r="F48" s="28" t="s">
        <v>167</v>
      </c>
      <c r="G48" s="28"/>
      <c r="H48" s="28" t="s">
        <v>182</v>
      </c>
      <c r="I48" s="28"/>
      <c r="J48" s="28"/>
      <c r="K48" s="28"/>
      <c r="L48" s="28"/>
      <c r="M48" s="28" t="s">
        <v>127</v>
      </c>
      <c r="N48" s="28" t="s">
        <v>128</v>
      </c>
      <c r="O48" s="28" t="s">
        <v>129</v>
      </c>
      <c r="P48" s="28" t="s">
        <v>130</v>
      </c>
      <c r="Q48" s="28"/>
      <c r="R48" s="28"/>
      <c r="S48" s="28"/>
    </row>
    <row r="49" spans="1:19" s="5" customFormat="1" x14ac:dyDescent="0.2">
      <c r="A49" s="105"/>
      <c r="B49" s="101" t="s">
        <v>267</v>
      </c>
      <c r="C49" s="7"/>
      <c r="D49" s="7"/>
      <c r="E49" s="7" t="s">
        <v>269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s="5" customFormat="1" x14ac:dyDescent="0.2">
      <c r="A50" s="105"/>
      <c r="B50" s="101"/>
      <c r="C50" s="7"/>
      <c r="D50" s="7"/>
      <c r="E50" s="7" t="s">
        <v>270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s="5" customFormat="1" ht="15" thickBot="1" x14ac:dyDescent="0.25">
      <c r="A51" s="105"/>
      <c r="B51" s="101"/>
      <c r="C51" s="7"/>
      <c r="D51" s="7"/>
      <c r="E51" s="7" t="s">
        <v>271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s="32" customFormat="1" ht="54" x14ac:dyDescent="0.2">
      <c r="A52" s="92" t="s">
        <v>101</v>
      </c>
      <c r="B52" s="75"/>
      <c r="C52" s="76" t="s">
        <v>208</v>
      </c>
      <c r="D52" s="76" t="s">
        <v>276</v>
      </c>
      <c r="E52" s="77" t="s">
        <v>111</v>
      </c>
      <c r="F52" s="76" t="s">
        <v>106</v>
      </c>
      <c r="G52" s="77" t="s">
        <v>62</v>
      </c>
      <c r="H52" s="76"/>
      <c r="I52" s="76" t="s">
        <v>78</v>
      </c>
      <c r="J52" s="76"/>
      <c r="K52" s="76"/>
      <c r="L52" s="76"/>
      <c r="M52" s="76" t="s">
        <v>30</v>
      </c>
      <c r="N52" s="76" t="s">
        <v>22</v>
      </c>
      <c r="O52" s="76" t="s">
        <v>26</v>
      </c>
      <c r="P52" s="76" t="s">
        <v>35</v>
      </c>
      <c r="Q52" s="76"/>
      <c r="R52" s="76" t="s">
        <v>95</v>
      </c>
      <c r="S52" s="78" t="s">
        <v>86</v>
      </c>
    </row>
    <row r="53" spans="1:19" s="4" customFormat="1" ht="48" x14ac:dyDescent="0.2">
      <c r="A53" s="93"/>
      <c r="B53" s="79"/>
      <c r="C53" s="80"/>
      <c r="D53" s="80" t="s">
        <v>279</v>
      </c>
      <c r="E53" s="80" t="s">
        <v>112</v>
      </c>
      <c r="F53" s="80" t="s">
        <v>34</v>
      </c>
      <c r="G53" s="80" t="s">
        <v>63</v>
      </c>
      <c r="H53" s="80"/>
      <c r="I53" s="80" t="s">
        <v>74</v>
      </c>
      <c r="J53" s="80"/>
      <c r="K53" s="80"/>
      <c r="L53" s="80"/>
      <c r="M53" s="80" t="s">
        <v>31</v>
      </c>
      <c r="N53" s="80" t="s">
        <v>23</v>
      </c>
      <c r="O53" s="80" t="s">
        <v>27</v>
      </c>
      <c r="P53" s="80" t="s">
        <v>36</v>
      </c>
      <c r="Q53" s="80"/>
      <c r="R53" s="80" t="s">
        <v>91</v>
      </c>
      <c r="S53" s="81" t="s">
        <v>82</v>
      </c>
    </row>
    <row r="54" spans="1:19" s="4" customFormat="1" ht="36" x14ac:dyDescent="0.2">
      <c r="A54" s="93"/>
      <c r="B54" s="79"/>
      <c r="C54" s="82"/>
      <c r="D54" s="82"/>
      <c r="E54" s="82" t="s">
        <v>160</v>
      </c>
      <c r="F54" s="82" t="s">
        <v>166</v>
      </c>
      <c r="G54" s="82" t="s">
        <v>174</v>
      </c>
      <c r="H54" s="82"/>
      <c r="I54" s="82" t="s">
        <v>132</v>
      </c>
      <c r="J54" s="82"/>
      <c r="K54" s="82"/>
      <c r="L54" s="82"/>
      <c r="M54" s="82" t="s">
        <v>133</v>
      </c>
      <c r="N54" s="82" t="s">
        <v>134</v>
      </c>
      <c r="O54" s="82" t="s">
        <v>135</v>
      </c>
      <c r="P54" s="82" t="s">
        <v>136</v>
      </c>
      <c r="Q54" s="82"/>
      <c r="R54" s="82" t="s">
        <v>138</v>
      </c>
      <c r="S54" s="83" t="s">
        <v>137</v>
      </c>
    </row>
    <row r="55" spans="1:19" s="32" customFormat="1" ht="54" x14ac:dyDescent="0.2">
      <c r="A55" s="93"/>
      <c r="B55" s="33"/>
      <c r="C55" s="84" t="s">
        <v>209</v>
      </c>
      <c r="D55" s="84" t="s">
        <v>281</v>
      </c>
      <c r="E55" s="85" t="s">
        <v>109</v>
      </c>
      <c r="F55" s="84" t="s">
        <v>168</v>
      </c>
      <c r="G55" s="85" t="s">
        <v>103</v>
      </c>
      <c r="H55" s="84" t="s">
        <v>186</v>
      </c>
      <c r="I55" s="84" t="s">
        <v>79</v>
      </c>
      <c r="J55" s="84" t="s">
        <v>215</v>
      </c>
      <c r="K55" s="84"/>
      <c r="L55" s="84"/>
      <c r="M55" s="84" t="s">
        <v>32</v>
      </c>
      <c r="N55" s="84" t="s">
        <v>24</v>
      </c>
      <c r="O55" s="84" t="s">
        <v>28</v>
      </c>
      <c r="P55" s="84" t="s">
        <v>37</v>
      </c>
      <c r="Q55" s="84"/>
      <c r="R55" s="84" t="s">
        <v>96</v>
      </c>
      <c r="S55" s="86" t="s">
        <v>87</v>
      </c>
    </row>
    <row r="56" spans="1:19" s="4" customFormat="1" ht="48" x14ac:dyDescent="0.2">
      <c r="A56" s="93"/>
      <c r="B56" s="79"/>
      <c r="C56" s="80"/>
      <c r="D56" s="80" t="s">
        <v>282</v>
      </c>
      <c r="E56" s="80" t="s">
        <v>110</v>
      </c>
      <c r="F56" s="80" t="s">
        <v>169</v>
      </c>
      <c r="G56" s="80" t="s">
        <v>61</v>
      </c>
      <c r="H56" s="80" t="s">
        <v>187</v>
      </c>
      <c r="I56" s="80" t="s">
        <v>75</v>
      </c>
      <c r="J56" s="80"/>
      <c r="K56" s="80"/>
      <c r="L56" s="80"/>
      <c r="M56" s="80" t="s">
        <v>33</v>
      </c>
      <c r="N56" s="80" t="s">
        <v>25</v>
      </c>
      <c r="O56" s="80" t="s">
        <v>29</v>
      </c>
      <c r="P56" s="80" t="s">
        <v>38</v>
      </c>
      <c r="Q56" s="80"/>
      <c r="R56" s="80" t="s">
        <v>92</v>
      </c>
      <c r="S56" s="81" t="s">
        <v>83</v>
      </c>
    </row>
    <row r="57" spans="1:19" s="4" customFormat="1" ht="36" x14ac:dyDescent="0.2">
      <c r="A57" s="93"/>
      <c r="B57" s="79"/>
      <c r="C57" s="82"/>
      <c r="D57" s="82"/>
      <c r="E57" s="82" t="s">
        <v>161</v>
      </c>
      <c r="F57" s="82" t="s">
        <v>170</v>
      </c>
      <c r="G57" s="82" t="s">
        <v>175</v>
      </c>
      <c r="H57" s="82" t="s">
        <v>131</v>
      </c>
      <c r="I57" s="82" t="s">
        <v>139</v>
      </c>
      <c r="J57" s="82"/>
      <c r="K57" s="82"/>
      <c r="L57" s="82"/>
      <c r="M57" s="82" t="s">
        <v>140</v>
      </c>
      <c r="N57" s="82" t="s">
        <v>141</v>
      </c>
      <c r="O57" s="82" t="s">
        <v>142</v>
      </c>
      <c r="P57" s="82" t="s">
        <v>143</v>
      </c>
      <c r="Q57" s="82"/>
      <c r="R57" s="82" t="s">
        <v>145</v>
      </c>
      <c r="S57" s="83" t="s">
        <v>144</v>
      </c>
    </row>
    <row r="58" spans="1:19" s="32" customFormat="1" ht="54" x14ac:dyDescent="0.2">
      <c r="A58" s="93"/>
      <c r="B58" s="33"/>
      <c r="C58" s="84" t="s">
        <v>211</v>
      </c>
      <c r="D58" s="84" t="s">
        <v>280</v>
      </c>
      <c r="E58" s="84" t="s">
        <v>98</v>
      </c>
      <c r="F58" s="84"/>
      <c r="G58" s="85" t="s">
        <v>117</v>
      </c>
      <c r="H58" s="84" t="s">
        <v>183</v>
      </c>
      <c r="I58" s="84"/>
      <c r="J58" s="84" t="s">
        <v>216</v>
      </c>
      <c r="K58" s="84"/>
      <c r="L58" s="84"/>
      <c r="M58" s="84"/>
      <c r="N58" s="84"/>
      <c r="O58" s="84"/>
      <c r="P58" s="84"/>
      <c r="Q58" s="84"/>
      <c r="R58" s="84"/>
      <c r="S58" s="86"/>
    </row>
    <row r="59" spans="1:19" s="4" customFormat="1" ht="60" x14ac:dyDescent="0.2">
      <c r="A59" s="93"/>
      <c r="B59" s="79"/>
      <c r="C59" s="80" t="s">
        <v>212</v>
      </c>
      <c r="D59" s="80" t="s">
        <v>283</v>
      </c>
      <c r="E59" s="80" t="s">
        <v>115</v>
      </c>
      <c r="F59" s="80"/>
      <c r="G59" s="80" t="s">
        <v>118</v>
      </c>
      <c r="H59" s="80" t="s">
        <v>184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1"/>
    </row>
    <row r="60" spans="1:19" s="4" customFormat="1" ht="48.75" thickBot="1" x14ac:dyDescent="0.25">
      <c r="A60" s="94"/>
      <c r="B60" s="87"/>
      <c r="C60" s="88"/>
      <c r="D60" s="88"/>
      <c r="E60" s="88" t="s">
        <v>162</v>
      </c>
      <c r="F60" s="88"/>
      <c r="G60" s="88" t="s">
        <v>176</v>
      </c>
      <c r="H60" s="88" t="s">
        <v>185</v>
      </c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9"/>
    </row>
    <row r="61" spans="1:19" s="32" customFormat="1" ht="54" x14ac:dyDescent="0.2">
      <c r="A61" s="95" t="s">
        <v>100</v>
      </c>
      <c r="B61" s="34"/>
      <c r="C61" s="35"/>
      <c r="D61" s="35"/>
      <c r="E61" s="35" t="s">
        <v>113</v>
      </c>
      <c r="F61" s="35" t="s">
        <v>171</v>
      </c>
      <c r="G61" s="35" t="s">
        <v>59</v>
      </c>
      <c r="H61" s="35" t="s">
        <v>188</v>
      </c>
      <c r="I61" s="35" t="s">
        <v>80</v>
      </c>
      <c r="J61" s="35" t="s">
        <v>217</v>
      </c>
      <c r="K61" s="35"/>
      <c r="L61" s="35"/>
      <c r="M61" s="35" t="s">
        <v>48</v>
      </c>
      <c r="N61" s="35" t="s">
        <v>40</v>
      </c>
      <c r="O61" s="35" t="s">
        <v>44</v>
      </c>
      <c r="P61" s="35" t="s">
        <v>55</v>
      </c>
      <c r="Q61" s="35"/>
      <c r="R61" s="35" t="s">
        <v>94</v>
      </c>
      <c r="S61" s="35" t="s">
        <v>88</v>
      </c>
    </row>
    <row r="62" spans="1:19" s="4" customFormat="1" ht="48" x14ac:dyDescent="0.2">
      <c r="A62" s="96"/>
      <c r="B62" s="27"/>
      <c r="C62" s="8"/>
      <c r="D62" s="8"/>
      <c r="E62" s="8" t="s">
        <v>114</v>
      </c>
      <c r="F62" s="8" t="s">
        <v>52</v>
      </c>
      <c r="G62" s="8" t="s">
        <v>60</v>
      </c>
      <c r="H62" s="8" t="s">
        <v>189</v>
      </c>
      <c r="I62" s="8" t="s">
        <v>76</v>
      </c>
      <c r="J62" s="8"/>
      <c r="K62" s="8"/>
      <c r="L62" s="8"/>
      <c r="M62" s="8" t="s">
        <v>49</v>
      </c>
      <c r="N62" s="8" t="s">
        <v>41</v>
      </c>
      <c r="O62" s="8" t="s">
        <v>45</v>
      </c>
      <c r="P62" s="8" t="s">
        <v>56</v>
      </c>
      <c r="Q62" s="8"/>
      <c r="R62" s="8" t="s">
        <v>90</v>
      </c>
      <c r="S62" s="8" t="s">
        <v>84</v>
      </c>
    </row>
    <row r="63" spans="1:19" s="4" customFormat="1" ht="48" x14ac:dyDescent="0.2">
      <c r="A63" s="96"/>
      <c r="B63" s="27"/>
      <c r="C63" s="9"/>
      <c r="D63" s="9"/>
      <c r="E63" s="9" t="s">
        <v>163</v>
      </c>
      <c r="F63" s="9" t="s">
        <v>172</v>
      </c>
      <c r="G63" s="9" t="s">
        <v>177</v>
      </c>
      <c r="H63" s="9" t="s">
        <v>190</v>
      </c>
      <c r="I63" s="9" t="s">
        <v>146</v>
      </c>
      <c r="J63" s="9"/>
      <c r="K63" s="9"/>
      <c r="L63" s="9"/>
      <c r="M63" s="9" t="s">
        <v>147</v>
      </c>
      <c r="N63" s="9" t="s">
        <v>148</v>
      </c>
      <c r="O63" s="9" t="s">
        <v>149</v>
      </c>
      <c r="P63" s="9" t="s">
        <v>150</v>
      </c>
      <c r="Q63" s="9"/>
      <c r="R63" s="9" t="s">
        <v>152</v>
      </c>
      <c r="S63" s="9" t="s">
        <v>151</v>
      </c>
    </row>
    <row r="64" spans="1:19" s="32" customFormat="1" ht="54" x14ac:dyDescent="0.2">
      <c r="A64" s="96"/>
      <c r="B64" s="36"/>
      <c r="C64" s="35"/>
      <c r="D64" s="35"/>
      <c r="E64" s="35" t="s">
        <v>99</v>
      </c>
      <c r="F64" s="35" t="s">
        <v>53</v>
      </c>
      <c r="G64" s="35" t="s">
        <v>119</v>
      </c>
      <c r="H64" s="35" t="s">
        <v>191</v>
      </c>
      <c r="I64" s="35" t="s">
        <v>81</v>
      </c>
      <c r="J64" s="35"/>
      <c r="K64" s="35"/>
      <c r="L64" s="35"/>
      <c r="M64" s="35" t="s">
        <v>50</v>
      </c>
      <c r="N64" s="35" t="s">
        <v>42</v>
      </c>
      <c r="O64" s="35" t="s">
        <v>46</v>
      </c>
      <c r="P64" s="35" t="s">
        <v>57</v>
      </c>
      <c r="Q64" s="35"/>
      <c r="R64" s="35" t="s">
        <v>97</v>
      </c>
      <c r="S64" s="35" t="s">
        <v>89</v>
      </c>
    </row>
    <row r="65" spans="1:19" s="4" customFormat="1" ht="48" x14ac:dyDescent="0.2">
      <c r="A65" s="96"/>
      <c r="B65" s="27"/>
      <c r="C65" s="8"/>
      <c r="D65" s="8"/>
      <c r="E65" s="8" t="s">
        <v>39</v>
      </c>
      <c r="F65" s="8" t="s">
        <v>54</v>
      </c>
      <c r="G65" s="8" t="s">
        <v>120</v>
      </c>
      <c r="H65" s="8" t="s">
        <v>192</v>
      </c>
      <c r="I65" s="8" t="s">
        <v>77</v>
      </c>
      <c r="J65" s="8"/>
      <c r="K65" s="8"/>
      <c r="L65" s="8"/>
      <c r="M65" s="8" t="s">
        <v>51</v>
      </c>
      <c r="N65" s="8" t="s">
        <v>43</v>
      </c>
      <c r="O65" s="8" t="s">
        <v>47</v>
      </c>
      <c r="P65" s="8" t="s">
        <v>58</v>
      </c>
      <c r="Q65" s="8"/>
      <c r="R65" s="8" t="s">
        <v>93</v>
      </c>
      <c r="S65" s="8" t="s">
        <v>85</v>
      </c>
    </row>
    <row r="66" spans="1:19" s="10" customFormat="1" ht="36" x14ac:dyDescent="0.2">
      <c r="A66" s="96"/>
      <c r="B66" s="27"/>
      <c r="C66" s="9"/>
      <c r="D66" s="9"/>
      <c r="E66" s="9" t="s">
        <v>164</v>
      </c>
      <c r="F66" s="9" t="s">
        <v>173</v>
      </c>
      <c r="G66" s="9" t="s">
        <v>178</v>
      </c>
      <c r="H66" s="9" t="s">
        <v>193</v>
      </c>
      <c r="I66" s="9" t="s">
        <v>153</v>
      </c>
      <c r="J66" s="9"/>
      <c r="K66" s="9"/>
      <c r="L66" s="9"/>
      <c r="M66" s="9" t="s">
        <v>154</v>
      </c>
      <c r="N66" s="9" t="s">
        <v>155</v>
      </c>
      <c r="O66" s="9" t="s">
        <v>156</v>
      </c>
      <c r="P66" s="9" t="s">
        <v>157</v>
      </c>
      <c r="Q66" s="9"/>
      <c r="R66" s="9" t="s">
        <v>159</v>
      </c>
      <c r="S66" s="9" t="s">
        <v>158</v>
      </c>
    </row>
    <row r="67" spans="1:19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</sheetData>
  <mergeCells count="10">
    <mergeCell ref="Q1:R1"/>
    <mergeCell ref="A52:A60"/>
    <mergeCell ref="A61:A66"/>
    <mergeCell ref="G1:J1"/>
    <mergeCell ref="M1:O1"/>
    <mergeCell ref="B40:B42"/>
    <mergeCell ref="B43:B48"/>
    <mergeCell ref="B49:B51"/>
    <mergeCell ref="A40:A51"/>
    <mergeCell ref="C1:D1"/>
  </mergeCells>
  <conditionalFormatting sqref="C4:S8 C9 E9:S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C20 E15:S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C31 E26:S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S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D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שחר דולב</dc:creator>
  <cp:lastModifiedBy>שחר דולב</cp:lastModifiedBy>
  <dcterms:created xsi:type="dcterms:W3CDTF">2026-04-12T07:47:20Z</dcterms:created>
  <dcterms:modified xsi:type="dcterms:W3CDTF">2026-09-17T06:23:48Z</dcterms:modified>
</cp:coreProperties>
</file>